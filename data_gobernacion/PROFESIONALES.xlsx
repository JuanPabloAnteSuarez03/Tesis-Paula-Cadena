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PAULA CADENA\UNIVERSIDAD\TESIS\"/>
    </mc:Choice>
  </mc:AlternateContent>
  <xr:revisionPtr revIDLastSave="0" documentId="8_{0B305C93-36B2-48C6-A92B-4840E40341A5}" xr6:coauthVersionLast="47" xr6:coauthVersionMax="47" xr10:uidLastSave="{00000000-0000-0000-0000-000000000000}"/>
  <bookViews>
    <workbookView xWindow="-108" yWindow="-108" windowWidth="23256" windowHeight="12456" xr2:uid="{C9264E01-64FD-4750-B0E8-2AF6D8DB60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3" i="1"/>
  <c r="H12" i="1"/>
  <c r="H4" i="1"/>
  <c r="H5" i="1"/>
  <c r="H6" i="1"/>
  <c r="H3" i="1"/>
  <c r="H8" i="1" l="1"/>
</calcChain>
</file>

<file path=xl/sharedStrings.xml><?xml version="1.0" encoding="utf-8"?>
<sst xmlns="http://schemas.openxmlformats.org/spreadsheetml/2006/main" count="17" uniqueCount="17">
  <si>
    <t>DIRECTOR DE OBRA ING CIVIL</t>
  </si>
  <si>
    <t>VALOR MENSUAL</t>
  </si>
  <si>
    <t>RESIDENTE DE OBRA ING CIVIL</t>
  </si>
  <si>
    <t>TECNICO O TECNOLOGO MAESTRO DE OBRA</t>
  </si>
  <si>
    <t>PORCENTAJE DE DEDICACIÓN</t>
  </si>
  <si>
    <t>DURACIÓN DE LA OBRA</t>
  </si>
  <si>
    <t>COORDINADOR DE SEGURIDAD Y SALUD EN EL TRABAJO</t>
  </si>
  <si>
    <t>VALOR TOTAL EN PESOS</t>
  </si>
  <si>
    <t>VALOR TOTAL PROFESIONALES</t>
  </si>
  <si>
    <t>PERSONAL OBLIGATORIO</t>
  </si>
  <si>
    <t>INGENIERO ESTRUCTURAL</t>
  </si>
  <si>
    <t>INGENIERO SANITARIO</t>
  </si>
  <si>
    <t>INGENIERO ELECTRICO</t>
  </si>
  <si>
    <t>INGENIERO MECÁNICO</t>
  </si>
  <si>
    <t>DIRECTOR DE OBRA ARQUITECTO</t>
  </si>
  <si>
    <t>RESIDENTE DE OBRA ARQUITECTO</t>
  </si>
  <si>
    <t>ESPECIALISTA EN GERENCIA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</si>
</sst>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42" fontId="0" fillId="0" borderId="0" xfId="1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2" fontId="0" fillId="0" borderId="0" xfId="0" applyNumberFormat="1"/>
    <xf numFmtId="0" fontId="0" fillId="0" borderId="0" xfId="0" applyAlignment="1">
      <alignment horizontal="center" vertical="center" wrapText="1"/>
    </xf>
    <xf numFmtId="42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7C87-7FF6-4799-8D5F-FE9B41222D12}">
  <dimension ref="B2:H21"/>
  <sheetViews>
    <sheetView tabSelected="1" topLeftCell="B1" zoomScale="76" workbookViewId="0">
      <selection activeCell="F21" sqref="F21"/>
    </sheetView>
  </sheetViews>
  <sheetFormatPr baseColWidth="10" defaultRowHeight="14.4" x14ac:dyDescent="0.3"/>
  <cols>
    <col min="2" max="2" width="16.33203125" customWidth="1"/>
    <col min="4" max="4" width="46.77734375" bestFit="1" customWidth="1"/>
    <col min="5" max="5" width="20.6640625" style="1" bestFit="1" customWidth="1"/>
    <col min="6" max="6" width="25.44140625" style="2" bestFit="1" customWidth="1"/>
    <col min="7" max="7" width="20" bestFit="1" customWidth="1"/>
    <col min="8" max="8" width="26.33203125" bestFit="1" customWidth="1"/>
  </cols>
  <sheetData>
    <row r="2" spans="2:8" x14ac:dyDescent="0.3">
      <c r="E2" s="1" t="s">
        <v>1</v>
      </c>
      <c r="F2" s="2" t="s">
        <v>4</v>
      </c>
      <c r="G2" t="s">
        <v>5</v>
      </c>
      <c r="H2" t="s">
        <v>7</v>
      </c>
    </row>
    <row r="3" spans="2:8" x14ac:dyDescent="0.3">
      <c r="B3" s="7" t="s">
        <v>9</v>
      </c>
      <c r="D3" t="s">
        <v>0</v>
      </c>
      <c r="E3" s="1">
        <v>3320000</v>
      </c>
      <c r="F3" s="3">
        <v>0.5</v>
      </c>
      <c r="G3" s="2">
        <v>6</v>
      </c>
      <c r="H3" s="4">
        <f>E3*F3*G3</f>
        <v>9960000</v>
      </c>
    </row>
    <row r="4" spans="2:8" x14ac:dyDescent="0.3">
      <c r="B4" s="7"/>
      <c r="D4" t="s">
        <v>2</v>
      </c>
      <c r="E4" s="1">
        <v>2500000</v>
      </c>
      <c r="F4" s="3">
        <v>1</v>
      </c>
      <c r="G4" s="2">
        <v>6</v>
      </c>
      <c r="H4" s="4">
        <f t="shared" ref="H4:H6" si="0">E4*F4*G4</f>
        <v>15000000</v>
      </c>
    </row>
    <row r="5" spans="2:8" x14ac:dyDescent="0.3">
      <c r="B5" s="7"/>
      <c r="D5" t="s">
        <v>3</v>
      </c>
      <c r="E5" s="1">
        <v>1800000</v>
      </c>
      <c r="F5" s="3">
        <v>1</v>
      </c>
      <c r="G5" s="2">
        <v>6</v>
      </c>
      <c r="H5" s="4">
        <f t="shared" si="0"/>
        <v>10800000</v>
      </c>
    </row>
    <row r="6" spans="2:8" x14ac:dyDescent="0.3">
      <c r="B6" s="7"/>
      <c r="D6" t="s">
        <v>6</v>
      </c>
      <c r="E6" s="1">
        <v>1800000</v>
      </c>
      <c r="F6" s="3">
        <v>1</v>
      </c>
      <c r="G6" s="2">
        <v>6</v>
      </c>
      <c r="H6" s="4">
        <f t="shared" si="0"/>
        <v>10800000</v>
      </c>
    </row>
    <row r="7" spans="2:8" x14ac:dyDescent="0.3">
      <c r="B7" s="7"/>
    </row>
    <row r="8" spans="2:8" ht="28.8" x14ac:dyDescent="0.3">
      <c r="G8" s="5" t="s">
        <v>8</v>
      </c>
      <c r="H8" s="6">
        <f>SUM(H3:H7)</f>
        <v>46560000</v>
      </c>
    </row>
    <row r="12" spans="2:8" x14ac:dyDescent="0.3">
      <c r="D12" t="s">
        <v>14</v>
      </c>
      <c r="E12" s="1">
        <v>3320000</v>
      </c>
      <c r="F12" s="3">
        <v>0.5</v>
      </c>
      <c r="G12" s="2">
        <v>6</v>
      </c>
      <c r="H12" s="4">
        <f>E12*F12*G12</f>
        <v>9960000</v>
      </c>
    </row>
    <row r="13" spans="2:8" x14ac:dyDescent="0.3">
      <c r="D13" t="s">
        <v>15</v>
      </c>
      <c r="E13" s="1">
        <v>2500000</v>
      </c>
      <c r="F13" s="3">
        <v>1</v>
      </c>
      <c r="G13" s="2">
        <v>6</v>
      </c>
      <c r="H13" s="4">
        <f t="shared" ref="H13:H18" si="1">E13*F13*G13</f>
        <v>15000000</v>
      </c>
    </row>
    <row r="14" spans="2:8" x14ac:dyDescent="0.3">
      <c r="D14" t="s">
        <v>10</v>
      </c>
      <c r="E14" s="1">
        <v>5410000</v>
      </c>
      <c r="F14" s="3">
        <v>0.2</v>
      </c>
      <c r="G14" s="2">
        <v>6</v>
      </c>
      <c r="H14" s="4">
        <f t="shared" si="1"/>
        <v>6492000</v>
      </c>
    </row>
    <row r="15" spans="2:8" x14ac:dyDescent="0.3">
      <c r="D15" t="s">
        <v>16</v>
      </c>
      <c r="E15" s="1">
        <v>6480000</v>
      </c>
      <c r="F15" s="3">
        <v>0.2</v>
      </c>
      <c r="G15" s="2">
        <v>6</v>
      </c>
      <c r="H15" s="4">
        <f t="shared" si="1"/>
        <v>7776000</v>
      </c>
    </row>
    <row r="16" spans="2:8" x14ac:dyDescent="0.3">
      <c r="D16" t="s">
        <v>11</v>
      </c>
      <c r="E16" s="1">
        <v>2500000</v>
      </c>
      <c r="F16" s="3">
        <v>0.2</v>
      </c>
      <c r="G16" s="2">
        <v>6</v>
      </c>
      <c r="H16" s="4">
        <f t="shared" si="1"/>
        <v>3000000</v>
      </c>
    </row>
    <row r="17" spans="4:8" x14ac:dyDescent="0.3">
      <c r="D17" t="s">
        <v>12</v>
      </c>
      <c r="E17" s="1">
        <v>2500000</v>
      </c>
      <c r="F17" s="3">
        <v>0.2</v>
      </c>
      <c r="G17" s="2">
        <v>6</v>
      </c>
      <c r="H17" s="4">
        <f t="shared" si="1"/>
        <v>3000000</v>
      </c>
    </row>
    <row r="18" spans="4:8" x14ac:dyDescent="0.3">
      <c r="D18" t="s">
        <v>13</v>
      </c>
      <c r="E18" s="1">
        <v>2500000</v>
      </c>
      <c r="F18" s="3">
        <v>0.2</v>
      </c>
      <c r="G18" s="2">
        <v>6</v>
      </c>
      <c r="H18" s="4">
        <f t="shared" si="1"/>
        <v>3000000</v>
      </c>
    </row>
    <row r="21" spans="4:8" x14ac:dyDescent="0.3">
      <c r="G21" s="5"/>
      <c r="H21" s="6"/>
    </row>
  </sheetData>
  <mergeCells count="1">
    <mergeCell ref="B3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ALEJANDRA CADENA</dc:creator>
  <cp:lastModifiedBy>PAULA ALEJANDRA CADENA</cp:lastModifiedBy>
  <dcterms:created xsi:type="dcterms:W3CDTF">2025-07-06T13:59:30Z</dcterms:created>
  <dcterms:modified xsi:type="dcterms:W3CDTF">2025-07-06T14:45:05Z</dcterms:modified>
</cp:coreProperties>
</file>