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1" autoFilterDateGrouping="1"/>
  </bookViews>
  <sheets>
    <sheet name="PRESUPUESTO" sheetId="1" state="visible" r:id="rId1"/>
    <sheet name="AIU" sheetId="2" state="visible" r:id="rId2"/>
    <sheet name="ANALISIS" sheetId="3" state="visible" r:id="rId3"/>
    <sheet name="INSUMOS" sheetId="4" state="visible" r:id="rId4"/>
  </sheets>
  <definedNames/>
  <calcPr calcId="191029" fullCalcOnLoad="1"/>
</workbook>
</file>

<file path=xl/styles.xml><?xml version="1.0" encoding="utf-8"?>
<styleSheet xmlns="http://schemas.openxmlformats.org/spreadsheetml/2006/main">
  <numFmts count="7">
    <numFmt numFmtId="164" formatCode="d\-mmm\-yyyy"/>
    <numFmt numFmtId="165" formatCode="_ * #,##0_ ;_ * \-#,##0_ ;_ * &quot;-&quot;??_ ;_ @_ "/>
    <numFmt numFmtId="166" formatCode="_ * #,##0.00_ ;_ * \-#,##0.00_ ;_ * &quot;-&quot;??_ ;_ @_ "/>
    <numFmt numFmtId="167" formatCode="_-* #,##0.00_-;\-* #,##0.00_-;_-* &quot;-&quot;??_-;_-@_-"/>
    <numFmt numFmtId="168" formatCode="0.0%"/>
    <numFmt numFmtId="169" formatCode="_(* #,##0_);_(* \(#,##0\);_(* &quot;-&quot;??_);_(@_)"/>
    <numFmt numFmtId="170" formatCode="0.00000%"/>
  </numFmts>
  <fonts count="21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rial"/>
      <family val="2"/>
      <b val="1"/>
      <sz val="14"/>
    </font>
    <font>
      <name val="Arial"/>
      <family val="2"/>
      <sz val="10"/>
    </font>
    <font>
      <name val="Arial Narrow"/>
      <family val="2"/>
      <b val="1"/>
      <sz val="10"/>
    </font>
    <font>
      <name val="Arial"/>
      <family val="2"/>
      <b val="1"/>
      <sz val="10"/>
    </font>
    <font>
      <name val="Arial"/>
      <family val="2"/>
      <b val="1"/>
      <sz val="11"/>
    </font>
    <font>
      <name val="Arial Narrow"/>
      <family val="2"/>
      <sz val="10"/>
    </font>
    <font>
      <name val="Arial"/>
      <family val="2"/>
      <color indexed="12"/>
      <sz val="10"/>
      <u val="single"/>
    </font>
    <font>
      <name val="Arial"/>
      <family val="2"/>
      <sz val="9"/>
    </font>
    <font>
      <name val="Arial"/>
      <family val="2"/>
      <b val="1"/>
      <color indexed="8"/>
      <sz val="11"/>
    </font>
    <font>
      <name val="Arial"/>
      <family val="2"/>
      <b val="1"/>
      <sz val="9"/>
    </font>
    <font>
      <name val="Arial"/>
      <family val="2"/>
      <b val="1"/>
      <sz val="8"/>
    </font>
    <font>
      <name val="Arial"/>
      <family val="2"/>
      <b val="1"/>
      <sz val="13"/>
    </font>
    <font>
      <name val="Arial"/>
      <family val="2"/>
      <sz val="8"/>
    </font>
    <font>
      <name val="Tahoma"/>
      <charset val="1"/>
      <color indexed="81"/>
      <sz val="9"/>
    </font>
    <font>
      <name val="Arial"/>
      <family val="2"/>
      <color indexed="8"/>
      <sz val="9"/>
    </font>
    <font>
      <name val="Arial"/>
      <family val="2"/>
      <b val="1"/>
      <color indexed="8"/>
      <sz val="9"/>
    </font>
    <font>
      <name val="Arial Narrow"/>
      <family val="2"/>
      <sz val="8"/>
    </font>
    <font>
      <b val="1"/>
    </font>
    <font>
      <b val="1"/>
      <sz val="12"/>
    </font>
  </fonts>
  <fills count="13">
    <fill>
      <patternFill/>
    </fill>
    <fill>
      <patternFill patternType="gray125"/>
    </fill>
    <fill>
      <gradientFill type="linear" degree="270">
        <stop position="0">
          <color theme="0"/>
        </stop>
        <stop position="1">
          <color rgb="FFD8ECBC"/>
        </stop>
      </gradientFill>
    </fill>
    <fill>
      <patternFill patternType="solid">
        <fgColor theme="0" tint="-0.1499984740745262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DEDEDE"/>
        <bgColor indexed="64"/>
      </patternFill>
    </fill>
    <fill>
      <patternFill patternType="solid">
        <fgColor rgb="FFE0E0E0"/>
        <bgColor indexed="64"/>
      </patternFill>
    </fill>
    <fill>
      <gradientFill type="linear" degree="270">
        <stop position="0">
          <color theme="0"/>
        </stop>
        <stop position="1">
          <color theme="0" tint="-0.2509842219306009"/>
        </stop>
      </gradientFill>
    </fill>
    <fill>
      <patternFill patternType="solid">
        <fgColor theme="0" tint="-0.1499984740745262"/>
        <bgColor auto="1"/>
      </patternFill>
    </fill>
    <fill>
      <patternFill patternType="solid">
        <fgColor indexed="22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EFEFEF"/>
        <bgColor rgb="FFEFEFEF"/>
      </patternFill>
    </fill>
  </fills>
  <borders count="89">
    <border>
      <left/>
      <right/>
      <top/>
      <bottom/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auto="1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auto="1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double">
        <color indexed="64"/>
      </left>
      <right/>
      <top/>
      <bottom style="hair">
        <color indexed="64"/>
      </bottom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double">
        <color indexed="64"/>
      </right>
      <top style="hair">
        <color indexed="64"/>
      </top>
      <bottom style="hair">
        <color indexed="64"/>
      </bottom>
      <diagonal/>
    </border>
    <border>
      <left style="double">
        <color indexed="64"/>
      </left>
      <right/>
      <top/>
      <bottom/>
      <diagonal/>
    </border>
    <border>
      <left style="hair">
        <color indexed="64"/>
      </left>
      <right style="double">
        <color indexed="64"/>
      </right>
      <top/>
      <bottom style="hair">
        <color indexed="64"/>
      </bottom>
      <diagonal/>
    </border>
    <border>
      <left style="double">
        <color indexed="64"/>
      </left>
      <right/>
      <top/>
      <bottom style="double">
        <color indexed="64"/>
      </bottom>
      <diagonal/>
    </border>
    <border>
      <left style="hair">
        <color indexed="64"/>
      </left>
      <right/>
      <top style="hair">
        <color indexed="64"/>
      </top>
      <bottom style="double">
        <color indexed="64"/>
      </bottom>
      <diagonal/>
    </border>
    <border>
      <left/>
      <right/>
      <top style="hair">
        <color indexed="64"/>
      </top>
      <bottom style="double">
        <color indexed="64"/>
      </bottom>
      <diagonal/>
    </border>
    <border>
      <left/>
      <right style="double">
        <color indexed="64"/>
      </right>
      <top style="hair">
        <color indexed="64"/>
      </top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 style="hair">
        <color indexed="64"/>
      </bottom>
      <diagonal/>
    </border>
    <border>
      <left/>
      <right/>
      <top style="double">
        <color indexed="64"/>
      </top>
      <bottom style="hair">
        <color indexed="64"/>
      </bottom>
      <diagonal/>
    </border>
    <border>
      <left/>
      <right style="double">
        <color indexed="64"/>
      </right>
      <top style="double">
        <color indexed="64"/>
      </top>
      <bottom style="hair">
        <color indexed="64"/>
      </bottom>
      <diagonal/>
    </border>
    <border>
      <left style="double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double">
        <color indexed="64"/>
      </right>
      <top style="hair">
        <color indexed="64"/>
      </top>
      <bottom style="hair">
        <color indexed="64"/>
      </bottom>
      <diagonal/>
    </border>
    <border>
      <left style="double">
        <color indexed="64"/>
      </left>
      <right/>
      <top style="hair">
        <color indexed="64"/>
      </top>
      <bottom style="double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medium">
        <color rgb="FF000000"/>
      </bottom>
    </border>
    <border>
      <left style="thin">
        <color rgb="FFAAAAAA"/>
      </left>
      <right style="thin">
        <color rgb="FFAAAAAA"/>
      </right>
    </border>
    <border>
      <left style="thin">
        <color rgb="FFAAAAAA"/>
      </left>
      <right style="thin">
        <color rgb="FFAAAAAA"/>
      </right>
      <top style="medium">
        <color rgb="FF000000"/>
      </top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</border>
  </borders>
  <cellStyleXfs count="4">
    <xf numFmtId="0" fontId="1" fillId="0" borderId="0"/>
    <xf numFmtId="43" fontId="1" fillId="0" borderId="0"/>
    <xf numFmtId="9" fontId="1" fillId="0" borderId="0"/>
    <xf numFmtId="0" fontId="8" fillId="0" borderId="0" applyAlignment="1" applyProtection="1">
      <alignment vertical="top"/>
      <protection locked="0" hidden="0"/>
    </xf>
  </cellStyleXfs>
  <cellXfs count="438">
    <xf numFmtId="0" fontId="0" fillId="0" borderId="0" pivotButton="0" quotePrefix="0" xfId="0"/>
    <xf numFmtId="0" fontId="2" fillId="0" borderId="6" applyAlignment="1" applyProtection="1" pivotButton="0" quotePrefix="0" xfId="0">
      <alignment horizontal="center" vertical="center" wrapText="1"/>
      <protection locked="0" hidden="0"/>
    </xf>
    <xf numFmtId="0" fontId="0" fillId="0" borderId="0" applyAlignment="1" pivotButton="0" quotePrefix="0" xfId="0">
      <alignment horizontal="center"/>
    </xf>
    <xf numFmtId="0" fontId="0" fillId="0" borderId="11" applyAlignment="1" pivotButton="0" quotePrefix="0" xfId="0">
      <alignment horizontal="center"/>
    </xf>
    <xf numFmtId="0" fontId="2" fillId="0" borderId="12" applyAlignment="1" applyProtection="1" pivotButton="0" quotePrefix="0" xfId="0">
      <alignment horizontal="center" vertical="center" wrapText="1"/>
      <protection locked="0" hidden="0"/>
    </xf>
    <xf numFmtId="0" fontId="2" fillId="0" borderId="12" applyAlignment="1" applyProtection="1" pivotButton="0" quotePrefix="0" xfId="0">
      <alignment horizontal="center" vertical="center"/>
      <protection locked="0" hidden="0"/>
    </xf>
    <xf numFmtId="0" fontId="0" fillId="0" borderId="12" applyAlignment="1" pivotButton="0" quotePrefix="0" xfId="0">
      <alignment horizontal="center"/>
    </xf>
    <xf numFmtId="0" fontId="3" fillId="0" borderId="12" applyAlignment="1" applyProtection="1" pivotButton="0" quotePrefix="0" xfId="0">
      <alignment horizontal="center" vertical="top" wrapText="1"/>
      <protection locked="0" hidden="0"/>
    </xf>
    <xf numFmtId="0" fontId="3" fillId="0" borderId="12" applyAlignment="1" applyProtection="1" pivotButton="0" quotePrefix="0" xfId="0">
      <alignment horizontal="left" vertical="top" wrapText="1"/>
      <protection locked="0" hidden="0"/>
    </xf>
    <xf numFmtId="0" fontId="0" fillId="0" borderId="12" applyAlignment="1" applyProtection="1" pivotButton="0" quotePrefix="0" xfId="0">
      <alignment horizontal="left" vertical="top" wrapText="1"/>
      <protection locked="0" hidden="0"/>
    </xf>
    <xf numFmtId="0" fontId="3" fillId="0" borderId="12" applyAlignment="1" applyProtection="1" pivotButton="0" quotePrefix="0" xfId="0">
      <alignment horizontal="right" vertical="top"/>
      <protection locked="0" hidden="0"/>
    </xf>
    <xf numFmtId="15" fontId="3" fillId="0" borderId="12" applyAlignment="1" applyProtection="1" pivotButton="0" quotePrefix="0" xfId="0">
      <alignment horizontal="center" vertical="top" wrapText="1"/>
      <protection locked="0" hidden="0"/>
    </xf>
    <xf numFmtId="164" fontId="4" fillId="0" borderId="10" applyAlignment="1" applyProtection="1" pivotButton="0" quotePrefix="0" xfId="1">
      <alignment horizontal="center" vertical="top"/>
      <protection locked="0" hidden="0"/>
    </xf>
    <xf numFmtId="164" fontId="4" fillId="0" borderId="13" applyAlignment="1" applyProtection="1" pivotButton="0" quotePrefix="0" xfId="1">
      <alignment horizontal="center" vertical="top"/>
      <protection locked="0" hidden="0"/>
    </xf>
    <xf numFmtId="0" fontId="5" fillId="2" borderId="12" applyAlignment="1" applyProtection="1" pivotButton="0" quotePrefix="0" xfId="0">
      <alignment horizontal="center" vertical="center"/>
      <protection locked="1" hidden="1"/>
    </xf>
    <xf numFmtId="165" fontId="5" fillId="2" borderId="12" applyAlignment="1" applyProtection="1" pivotButton="0" quotePrefix="0" xfId="0">
      <alignment horizontal="center" vertical="center"/>
      <protection locked="1" hidden="1"/>
    </xf>
    <xf numFmtId="165" fontId="5" fillId="2" borderId="12" applyAlignment="1" applyProtection="1" pivotButton="0" quotePrefix="0" xfId="1">
      <alignment horizontal="center" vertical="center" wrapText="1"/>
      <protection locked="1" hidden="1"/>
    </xf>
    <xf numFmtId="0" fontId="0" fillId="0" borderId="0" applyAlignment="1" applyProtection="1" pivotButton="0" quotePrefix="0" xfId="0">
      <alignment horizontal="right" vertical="top"/>
      <protection locked="1" hidden="1"/>
    </xf>
    <xf numFmtId="0" fontId="6" fillId="3" borderId="14" applyAlignment="1" applyProtection="1" pivotButton="0" quotePrefix="0" xfId="0">
      <alignment horizontal="center" vertical="top" wrapText="1"/>
      <protection locked="0" hidden="1"/>
    </xf>
    <xf numFmtId="0" fontId="6" fillId="3" borderId="15" applyAlignment="1" applyProtection="1" pivotButton="0" quotePrefix="0" xfId="0">
      <alignment vertical="top"/>
      <protection locked="0" hidden="0"/>
    </xf>
    <xf numFmtId="0" fontId="5" fillId="3" borderId="15" applyAlignment="1" applyProtection="1" pivotButton="0" quotePrefix="0" xfId="0">
      <alignment vertical="top" wrapText="1"/>
      <protection locked="1" hidden="1"/>
    </xf>
    <xf numFmtId="4" fontId="6" fillId="3" borderId="16" applyAlignment="1" applyProtection="1" pivotButton="0" quotePrefix="0" xfId="0">
      <alignment horizontal="right" vertical="top" wrapText="1"/>
      <protection locked="1" hidden="1"/>
    </xf>
    <xf numFmtId="0" fontId="3" fillId="0" borderId="17" applyAlignment="1" applyProtection="1" pivotButton="0" quotePrefix="0" xfId="0">
      <alignment horizontal="center" vertical="top"/>
      <protection locked="0" hidden="1"/>
    </xf>
    <xf numFmtId="0" fontId="7" fillId="0" borderId="18" applyAlignment="1" applyProtection="1" pivotButton="0" quotePrefix="0" xfId="0">
      <alignment vertical="top" wrapText="1"/>
      <protection locked="1" hidden="1"/>
    </xf>
    <xf numFmtId="0" fontId="0" fillId="0" borderId="18" applyAlignment="1" applyProtection="1" pivotButton="0" quotePrefix="0" xfId="0">
      <alignment horizontal="center" vertical="top"/>
      <protection locked="1" hidden="1"/>
    </xf>
    <xf numFmtId="0" fontId="0" fillId="0" borderId="18" applyAlignment="1" applyProtection="1" pivotButton="0" quotePrefix="0" xfId="0">
      <alignment horizontal="right" vertical="top"/>
      <protection locked="1" hidden="1"/>
    </xf>
    <xf numFmtId="165" fontId="0" fillId="0" borderId="18" applyAlignment="1" applyProtection="1" pivotButton="0" quotePrefix="0" xfId="1">
      <alignment horizontal="right" vertical="top"/>
      <protection locked="1" hidden="1"/>
    </xf>
    <xf numFmtId="165" fontId="0" fillId="0" borderId="19" applyAlignment="1" applyProtection="1" pivotButton="0" quotePrefix="0" xfId="1">
      <alignment horizontal="right" vertical="top"/>
      <protection locked="1" hidden="1"/>
    </xf>
    <xf numFmtId="0" fontId="3" fillId="0" borderId="20" applyAlignment="1" applyProtection="1" pivotButton="0" quotePrefix="0" xfId="0">
      <alignment horizontal="center" vertical="top" wrapText="1"/>
      <protection locked="0" hidden="1"/>
    </xf>
    <xf numFmtId="0" fontId="7" fillId="0" borderId="21" applyAlignment="1" applyProtection="1" pivotButton="0" quotePrefix="0" xfId="0">
      <alignment vertical="top" wrapText="1"/>
      <protection locked="1" hidden="1"/>
    </xf>
    <xf numFmtId="0" fontId="0" fillId="0" borderId="21" applyAlignment="1" applyProtection="1" pivotButton="0" quotePrefix="0" xfId="0">
      <alignment horizontal="center" vertical="top" wrapText="1"/>
      <protection locked="1" hidden="1"/>
    </xf>
    <xf numFmtId="0" fontId="0" fillId="0" borderId="21" applyAlignment="1" applyProtection="1" pivotButton="0" quotePrefix="0" xfId="0">
      <alignment horizontal="right" vertical="top" wrapText="1"/>
      <protection locked="1" hidden="1"/>
    </xf>
    <xf numFmtId="165" fontId="0" fillId="0" borderId="22" applyAlignment="1" applyProtection="1" pivotButton="0" quotePrefix="0" xfId="1">
      <alignment horizontal="right" vertical="top"/>
      <protection locked="1" hidden="1"/>
    </xf>
    <xf numFmtId="165" fontId="0" fillId="0" borderId="23" applyAlignment="1" applyProtection="1" pivotButton="0" quotePrefix="0" xfId="1">
      <alignment horizontal="right" vertical="top"/>
      <protection locked="1" hidden="1"/>
    </xf>
    <xf numFmtId="0" fontId="0" fillId="0" borderId="21" applyAlignment="1" applyProtection="1" pivotButton="0" quotePrefix="0" xfId="0">
      <alignment horizontal="center" vertical="top" wrapText="1"/>
      <protection locked="1" hidden="1"/>
    </xf>
    <xf numFmtId="165" fontId="0" fillId="0" borderId="21" applyAlignment="1" applyProtection="1" pivotButton="0" quotePrefix="0" xfId="1">
      <alignment horizontal="right" vertical="top" wrapText="1"/>
      <protection locked="1" hidden="1"/>
    </xf>
    <xf numFmtId="165" fontId="0" fillId="0" borderId="24" applyAlignment="1" applyProtection="1" pivotButton="0" quotePrefix="0" xfId="1">
      <alignment horizontal="right" vertical="top" wrapText="1"/>
      <protection locked="1" hidden="1"/>
    </xf>
    <xf numFmtId="0" fontId="3" fillId="0" borderId="25" applyAlignment="1" applyProtection="1" pivotButton="0" quotePrefix="0" xfId="0">
      <alignment horizontal="center" vertical="top"/>
      <protection locked="0" hidden="1"/>
    </xf>
    <xf numFmtId="0" fontId="7" fillId="0" borderId="22" applyAlignment="1" applyProtection="1" pivotButton="0" quotePrefix="0" xfId="0">
      <alignment vertical="top" wrapText="1"/>
      <protection locked="1" hidden="1"/>
    </xf>
    <xf numFmtId="0" fontId="0" fillId="0" borderId="22" applyAlignment="1" applyProtection="1" pivotButton="0" quotePrefix="0" xfId="0">
      <alignment horizontal="center" vertical="top"/>
      <protection locked="1" hidden="1"/>
    </xf>
    <xf numFmtId="0" fontId="0" fillId="0" borderId="22" applyAlignment="1" applyProtection="1" pivotButton="0" quotePrefix="0" xfId="0">
      <alignment horizontal="right" vertical="top"/>
      <protection locked="1" hidden="1"/>
    </xf>
    <xf numFmtId="0" fontId="3" fillId="4" borderId="26" applyAlignment="1" applyProtection="1" pivotButton="0" quotePrefix="0" xfId="0">
      <alignment horizontal="center" vertical="top"/>
      <protection locked="0" hidden="1"/>
    </xf>
    <xf numFmtId="0" fontId="7" fillId="4" borderId="27" applyAlignment="1" applyProtection="1" pivotButton="0" quotePrefix="0" xfId="0">
      <alignment vertical="top" wrapText="1"/>
      <protection locked="1" hidden="1"/>
    </xf>
    <xf numFmtId="0" fontId="0" fillId="4" borderId="27" applyAlignment="1" applyProtection="1" pivotButton="0" quotePrefix="0" xfId="0">
      <alignment horizontal="center" vertical="top"/>
      <protection locked="1" hidden="1"/>
    </xf>
    <xf numFmtId="0" fontId="0" fillId="4" borderId="27" applyAlignment="1" applyProtection="1" pivotButton="0" quotePrefix="0" xfId="0">
      <alignment horizontal="right" vertical="top"/>
      <protection locked="1" hidden="1"/>
    </xf>
    <xf numFmtId="165" fontId="5" fillId="4" borderId="27" applyAlignment="1" applyProtection="1" pivotButton="0" quotePrefix="0" xfId="1">
      <alignment horizontal="right" vertical="top"/>
      <protection locked="1" hidden="1"/>
    </xf>
    <xf numFmtId="166" fontId="6" fillId="4" borderId="28" applyAlignment="1" applyProtection="1" pivotButton="0" quotePrefix="0" xfId="1">
      <alignment horizontal="right" vertical="top"/>
      <protection locked="1" hidden="1"/>
    </xf>
    <xf numFmtId="0" fontId="0" fillId="0" borderId="0" applyAlignment="1" applyProtection="1" pivotButton="0" quotePrefix="0" xfId="0">
      <alignment horizontal="center" vertical="top"/>
      <protection locked="1" hidden="1"/>
    </xf>
    <xf numFmtId="0" fontId="6" fillId="3" borderId="29" applyAlignment="1" applyProtection="1" pivotButton="0" quotePrefix="0" xfId="0">
      <alignment horizontal="center" vertical="top" wrapText="1"/>
      <protection locked="0" hidden="1"/>
    </xf>
    <xf numFmtId="0" fontId="6" fillId="3" borderId="4" applyAlignment="1" applyProtection="1" pivotButton="0" quotePrefix="0" xfId="0">
      <alignment vertical="top"/>
      <protection locked="0" hidden="0"/>
    </xf>
    <xf numFmtId="0" fontId="5" fillId="3" borderId="4" applyAlignment="1" applyProtection="1" pivotButton="0" quotePrefix="0" xfId="0">
      <alignment vertical="top" wrapText="1"/>
      <protection locked="1" hidden="1"/>
    </xf>
    <xf numFmtId="4" fontId="6" fillId="3" borderId="30" applyAlignment="1" applyProtection="1" pivotButton="0" quotePrefix="0" xfId="0">
      <alignment horizontal="right" vertical="top" wrapText="1"/>
      <protection locked="1" hidden="1"/>
    </xf>
    <xf numFmtId="0" fontId="0" fillId="0" borderId="12" applyAlignment="1" pivotButton="0" quotePrefix="0" xfId="0">
      <alignment horizontal="center" vertical="top"/>
    </xf>
    <xf numFmtId="0" fontId="0" fillId="0" borderId="18" applyAlignment="1" applyProtection="1" pivotButton="0" quotePrefix="0" xfId="0">
      <alignment horizontal="right" vertical="top"/>
      <protection locked="0" hidden="1"/>
    </xf>
    <xf numFmtId="0" fontId="3" fillId="0" borderId="25" applyAlignment="1" applyProtection="1" pivotButton="0" quotePrefix="0" xfId="0">
      <alignment horizontal="center" vertical="top" wrapText="1"/>
      <protection locked="0" hidden="1"/>
    </xf>
    <xf numFmtId="0" fontId="0" fillId="0" borderId="22" applyAlignment="1" applyProtection="1" pivotButton="0" quotePrefix="0" xfId="0">
      <alignment horizontal="center" vertical="top" wrapText="1"/>
      <protection locked="1" hidden="1"/>
    </xf>
    <xf numFmtId="0" fontId="0" fillId="0" borderId="22" applyAlignment="1" applyProtection="1" pivotButton="0" quotePrefix="0" xfId="0">
      <alignment horizontal="right" vertical="top" wrapText="1"/>
      <protection locked="0" hidden="1"/>
    </xf>
    <xf numFmtId="165" fontId="0" fillId="0" borderId="22" applyAlignment="1" applyProtection="1" pivotButton="0" quotePrefix="0" xfId="1">
      <alignment horizontal="right" vertical="top" wrapText="1"/>
      <protection locked="1" hidden="1"/>
    </xf>
    <xf numFmtId="165" fontId="0" fillId="0" borderId="23" applyAlignment="1" applyProtection="1" pivotButton="0" quotePrefix="0" xfId="1">
      <alignment horizontal="right" vertical="top" wrapText="1"/>
      <protection locked="1" hidden="1"/>
    </xf>
    <xf numFmtId="0" fontId="0" fillId="0" borderId="22" applyAlignment="1" applyProtection="1" pivotButton="0" quotePrefix="0" xfId="0">
      <alignment horizontal="right" vertical="top"/>
      <protection locked="0" hidden="1"/>
    </xf>
    <xf numFmtId="0" fontId="0" fillId="4" borderId="27" applyAlignment="1" applyProtection="1" pivotButton="0" quotePrefix="0" xfId="0">
      <alignment horizontal="right" vertical="top"/>
      <protection locked="0" hidden="1"/>
    </xf>
    <xf numFmtId="0" fontId="0" fillId="5" borderId="10" applyAlignment="1" applyProtection="1" pivotButton="0" quotePrefix="0" xfId="0">
      <alignment vertical="center"/>
      <protection locked="1" hidden="1"/>
    </xf>
    <xf numFmtId="0" fontId="0" fillId="5" borderId="11" applyAlignment="1" applyProtection="1" pivotButton="0" quotePrefix="0" xfId="0">
      <alignment vertical="center"/>
      <protection locked="1" hidden="1"/>
    </xf>
    <xf numFmtId="165" fontId="6" fillId="5" borderId="11" applyAlignment="1" applyProtection="1" pivotButton="0" quotePrefix="0" xfId="0">
      <alignment horizontal="right" vertical="center"/>
      <protection locked="1" hidden="1"/>
    </xf>
    <xf numFmtId="165" fontId="6" fillId="5" borderId="13" applyAlignment="1" applyProtection="1" pivotButton="0" quotePrefix="0" xfId="1">
      <alignment horizontal="right" vertical="center"/>
      <protection locked="1" hidden="1"/>
    </xf>
    <xf numFmtId="0" fontId="0" fillId="0" borderId="0" applyAlignment="1" applyProtection="1" pivotButton="0" quotePrefix="0" xfId="0">
      <alignment vertical="top" wrapText="1"/>
      <protection locked="1" hidden="1"/>
    </xf>
    <xf numFmtId="0" fontId="0" fillId="0" borderId="0" applyAlignment="1" applyProtection="1" pivotButton="0" quotePrefix="0" xfId="0">
      <alignment vertical="top"/>
      <protection locked="1" hidden="1"/>
    </xf>
    <xf numFmtId="165" fontId="0" fillId="0" borderId="0" applyAlignment="1" applyProtection="1" pivotButton="0" quotePrefix="0" xfId="1">
      <alignment vertical="top"/>
      <protection locked="1" hidden="1"/>
    </xf>
    <xf numFmtId="0" fontId="0" fillId="0" borderId="0" applyProtection="1" pivotButton="0" quotePrefix="0" xfId="0">
      <protection locked="1" hidden="1"/>
    </xf>
    <xf numFmtId="0" fontId="6" fillId="6" borderId="10" applyAlignment="1" applyProtection="1" pivotButton="0" quotePrefix="0" xfId="0">
      <alignment vertical="top" wrapText="1"/>
      <protection locked="1" hidden="1"/>
    </xf>
    <xf numFmtId="0" fontId="0" fillId="6" borderId="11" applyAlignment="1" applyProtection="1" pivotButton="0" quotePrefix="0" xfId="0">
      <alignment horizontal="center" vertical="top"/>
      <protection locked="1" hidden="1"/>
    </xf>
    <xf numFmtId="0" fontId="0" fillId="6" borderId="11" applyAlignment="1" applyProtection="1" pivotButton="0" quotePrefix="0" xfId="0">
      <alignment horizontal="right" vertical="top"/>
      <protection locked="1" hidden="1"/>
    </xf>
    <xf numFmtId="0" fontId="0" fillId="6" borderId="11" applyAlignment="1" applyProtection="1" pivotButton="0" quotePrefix="0" xfId="0">
      <alignment vertical="top"/>
      <protection locked="1" hidden="1"/>
    </xf>
    <xf numFmtId="165" fontId="0" fillId="6" borderId="13" applyAlignment="1" applyProtection="1" pivotButton="0" quotePrefix="0" xfId="1">
      <alignment vertical="top"/>
      <protection locked="1" hidden="1"/>
    </xf>
    <xf numFmtId="0" fontId="0" fillId="0" borderId="43" applyProtection="1" pivotButton="0" quotePrefix="0" xfId="0">
      <protection locked="1" hidden="1"/>
    </xf>
    <xf numFmtId="0" fontId="0" fillId="0" borderId="44" applyProtection="1" pivotButton="0" quotePrefix="0" xfId="0">
      <protection locked="1" hidden="1"/>
    </xf>
    <xf numFmtId="0" fontId="5" fillId="0" borderId="44" applyAlignment="1" applyProtection="1" pivotButton="0" quotePrefix="0" xfId="0">
      <alignment horizontal="right"/>
      <protection locked="1" hidden="1"/>
    </xf>
    <xf numFmtId="165" fontId="5" fillId="0" borderId="46" applyProtection="1" pivotButton="0" quotePrefix="0" xfId="1">
      <protection locked="1" hidden="1"/>
    </xf>
    <xf numFmtId="0" fontId="0" fillId="0" borderId="31" applyProtection="1" pivotButton="0" quotePrefix="0" xfId="0">
      <protection locked="1" hidden="1"/>
    </xf>
    <xf numFmtId="0" fontId="0" fillId="0" borderId="32" applyProtection="1" pivotButton="0" quotePrefix="0" xfId="0">
      <protection locked="1" hidden="1"/>
    </xf>
    <xf numFmtId="0" fontId="5" fillId="0" borderId="33" applyAlignment="1" applyProtection="1" pivotButton="0" quotePrefix="0" xfId="0">
      <alignment horizontal="right"/>
      <protection locked="1" hidden="1"/>
    </xf>
    <xf numFmtId="165" fontId="5" fillId="0" borderId="34" applyAlignment="1" applyProtection="1" pivotButton="0" quotePrefix="0" xfId="1">
      <alignment vertical="top"/>
      <protection locked="1" hidden="1"/>
    </xf>
    <xf numFmtId="0" fontId="0" fillId="0" borderId="35" applyProtection="1" pivotButton="0" quotePrefix="0" xfId="0">
      <protection locked="1" hidden="1"/>
    </xf>
    <xf numFmtId="0" fontId="0" fillId="0" borderId="36" applyProtection="1" pivotButton="0" quotePrefix="0" xfId="0">
      <protection locked="1" hidden="1"/>
    </xf>
    <xf numFmtId="0" fontId="0" fillId="0" borderId="36" applyAlignment="1" applyProtection="1" pivotButton="0" quotePrefix="0" xfId="0">
      <alignment horizontal="right"/>
      <protection locked="1" hidden="1"/>
    </xf>
    <xf numFmtId="10" fontId="0" fillId="0" borderId="37" applyAlignment="1" applyProtection="1" pivotButton="0" quotePrefix="0" xfId="0">
      <alignment horizontal="center"/>
      <protection locked="1" hidden="1"/>
    </xf>
    <xf numFmtId="165" fontId="0" fillId="0" borderId="38" applyProtection="1" pivotButton="0" quotePrefix="0" xfId="1">
      <protection locked="1" hidden="1"/>
    </xf>
    <xf numFmtId="0" fontId="0" fillId="0" borderId="39" applyProtection="1" pivotButton="0" quotePrefix="0" xfId="0">
      <protection locked="1" hidden="1"/>
    </xf>
    <xf numFmtId="0" fontId="0" fillId="0" borderId="40" applyProtection="1" pivotButton="0" quotePrefix="0" xfId="0">
      <protection locked="1" hidden="1"/>
    </xf>
    <xf numFmtId="0" fontId="0" fillId="0" borderId="40" applyAlignment="1" applyProtection="1" pivotButton="0" quotePrefix="0" xfId="0">
      <alignment horizontal="right"/>
      <protection locked="1" hidden="1"/>
    </xf>
    <xf numFmtId="10" fontId="0" fillId="0" borderId="41" applyAlignment="1" applyProtection="1" pivotButton="0" quotePrefix="0" xfId="0">
      <alignment horizontal="center"/>
      <protection locked="1" hidden="1"/>
    </xf>
    <xf numFmtId="165" fontId="0" fillId="0" borderId="42" applyProtection="1" pivotButton="0" quotePrefix="0" xfId="1">
      <protection locked="1" hidden="1"/>
    </xf>
    <xf numFmtId="10" fontId="5" fillId="0" borderId="45" applyAlignment="1" applyProtection="1" pivotButton="0" quotePrefix="0" xfId="0">
      <alignment horizontal="center"/>
      <protection locked="1" hidden="1"/>
    </xf>
    <xf numFmtId="165" fontId="5" fillId="0" borderId="42" applyProtection="1" pivotButton="0" quotePrefix="0" xfId="1">
      <protection locked="1" hidden="1"/>
    </xf>
    <xf numFmtId="0" fontId="3" fillId="0" borderId="44" applyAlignment="1" applyProtection="1" pivotButton="0" quotePrefix="0" xfId="0">
      <alignment horizontal="right"/>
      <protection locked="1" hidden="1"/>
    </xf>
    <xf numFmtId="10" fontId="3" fillId="0" borderId="45" applyAlignment="1" applyProtection="1" pivotButton="0" quotePrefix="0" xfId="0">
      <alignment horizontal="center"/>
      <protection locked="1" hidden="1"/>
    </xf>
    <xf numFmtId="0" fontId="8" fillId="5" borderId="10" applyProtection="1" pivotButton="0" quotePrefix="0" xfId="3">
      <protection locked="1" hidden="1"/>
    </xf>
    <xf numFmtId="0" fontId="0" fillId="5" borderId="11" applyProtection="1" pivotButton="0" quotePrefix="0" xfId="0">
      <protection locked="1" hidden="1"/>
    </xf>
    <xf numFmtId="0" fontId="6" fillId="5" borderId="11" applyAlignment="1" applyProtection="1" pivotButton="0" quotePrefix="0" xfId="0">
      <alignment horizontal="right"/>
      <protection locked="1" hidden="1"/>
    </xf>
    <xf numFmtId="165" fontId="6" fillId="5" borderId="13" applyAlignment="1" applyProtection="1" pivotButton="0" quotePrefix="0" xfId="0">
      <alignment horizontal="right"/>
      <protection locked="1" hidden="1"/>
    </xf>
    <xf numFmtId="0" fontId="6" fillId="2" borderId="10" applyAlignment="1" applyProtection="1" pivotButton="0" quotePrefix="0" xfId="0">
      <alignment horizontal="center"/>
      <protection locked="1" hidden="1"/>
    </xf>
    <xf numFmtId="0" fontId="6" fillId="2" borderId="11" applyAlignment="1" applyProtection="1" pivotButton="0" quotePrefix="0" xfId="0">
      <alignment horizontal="center"/>
      <protection locked="1" hidden="1"/>
    </xf>
    <xf numFmtId="0" fontId="6" fillId="2" borderId="13" applyAlignment="1" applyProtection="1" pivotButton="0" quotePrefix="0" xfId="0">
      <alignment horizontal="center"/>
      <protection locked="1" hidden="1"/>
    </xf>
    <xf numFmtId="0" fontId="9" fillId="0" borderId="7" applyAlignment="1" applyProtection="1" pivotButton="0" quotePrefix="0" xfId="0">
      <alignment horizontal="center" vertical="center" wrapText="1"/>
      <protection locked="1" hidden="1"/>
    </xf>
    <xf numFmtId="0" fontId="9" fillId="0" borderId="8" applyAlignment="1" applyProtection="1" pivotButton="0" quotePrefix="0" xfId="0">
      <alignment horizontal="center" vertical="center" wrapText="1"/>
      <protection locked="1" hidden="1"/>
    </xf>
    <xf numFmtId="0" fontId="9" fillId="0" borderId="9" applyAlignment="1" applyProtection="1" pivotButton="0" quotePrefix="0" xfId="0">
      <alignment horizontal="center" vertical="center" wrapText="1"/>
      <protection locked="1" hidden="1"/>
    </xf>
    <xf numFmtId="0" fontId="9" fillId="0" borderId="6" applyAlignment="1" applyProtection="1" pivotButton="0" quotePrefix="0" xfId="0">
      <alignment horizontal="center" vertical="center" wrapText="1"/>
      <protection locked="1" hidden="1"/>
    </xf>
    <xf numFmtId="0" fontId="9" fillId="0" borderId="4" applyAlignment="1" applyProtection="1" pivotButton="0" quotePrefix="0" xfId="0">
      <alignment horizontal="center" vertical="center" wrapText="1"/>
      <protection locked="1" hidden="1"/>
    </xf>
    <xf numFmtId="0" fontId="9" fillId="0" borderId="5" applyAlignment="1" applyProtection="1" pivotButton="0" quotePrefix="0" xfId="0">
      <alignment horizontal="center" vertical="center" wrapText="1"/>
      <protection locked="1" hidden="1"/>
    </xf>
    <xf numFmtId="0" fontId="6" fillId="0" borderId="7" applyAlignment="1" applyProtection="1" pivotButton="0" quotePrefix="0" xfId="0">
      <alignment horizontal="right" vertical="center" wrapText="1"/>
      <protection locked="1" hidden="1"/>
    </xf>
    <xf numFmtId="0" fontId="6" fillId="0" borderId="8" applyAlignment="1" applyProtection="1" pivotButton="0" quotePrefix="0" xfId="0">
      <alignment horizontal="right" vertical="center" wrapText="1"/>
      <protection locked="1" hidden="1"/>
    </xf>
    <xf numFmtId="0" fontId="6" fillId="0" borderId="9" applyAlignment="1" applyProtection="1" pivotButton="0" quotePrefix="0" xfId="0">
      <alignment horizontal="right" vertical="center" wrapText="1"/>
      <protection locked="1" hidden="1"/>
    </xf>
    <xf numFmtId="165" fontId="10" fillId="0" borderId="47" applyAlignment="1" pivotButton="0" quotePrefix="0" xfId="0">
      <alignment horizontal="center" vertical="center"/>
    </xf>
    <xf numFmtId="0" fontId="6" fillId="0" borderId="6" applyAlignment="1" applyProtection="1" pivotButton="0" quotePrefix="0" xfId="0">
      <alignment horizontal="right" vertical="center" wrapText="1"/>
      <protection locked="1" hidden="1"/>
    </xf>
    <xf numFmtId="0" fontId="6" fillId="0" borderId="4" applyAlignment="1" applyProtection="1" pivotButton="0" quotePrefix="0" xfId="0">
      <alignment horizontal="right" vertical="center" wrapText="1"/>
      <protection locked="1" hidden="1"/>
    </xf>
    <xf numFmtId="0" fontId="6" fillId="0" borderId="5" applyAlignment="1" applyProtection="1" pivotButton="0" quotePrefix="0" xfId="0">
      <alignment horizontal="right" vertical="center" wrapText="1"/>
      <protection locked="1" hidden="1"/>
    </xf>
    <xf numFmtId="165" fontId="10" fillId="0" borderId="48" applyAlignment="1" pivotButton="0" quotePrefix="0" xfId="0">
      <alignment horizontal="center" vertical="center"/>
    </xf>
    <xf numFmtId="0" fontId="11" fillId="5" borderId="1" applyAlignment="1" pivotButton="0" quotePrefix="0" xfId="0">
      <alignment horizontal="left" vertical="top" wrapText="1"/>
    </xf>
    <xf numFmtId="0" fontId="11" fillId="5" borderId="2" applyAlignment="1" pivotButton="0" quotePrefix="0" xfId="0">
      <alignment horizontal="left" vertical="top" wrapText="1"/>
    </xf>
    <xf numFmtId="0" fontId="0" fillId="5" borderId="2" applyAlignment="1" applyProtection="1" pivotButton="0" quotePrefix="0" xfId="0">
      <alignment horizontal="center"/>
      <protection locked="1" hidden="1"/>
    </xf>
    <xf numFmtId="167" fontId="11" fillId="5" borderId="3" applyAlignment="1" applyProtection="1" pivotButton="0" quotePrefix="0" xfId="1">
      <alignment horizontal="right" vertical="center"/>
      <protection locked="1" hidden="1"/>
    </xf>
    <xf numFmtId="0" fontId="11" fillId="5" borderId="49" applyAlignment="1" pivotButton="0" quotePrefix="0" xfId="0">
      <alignment horizontal="left" vertical="top" wrapText="1"/>
    </xf>
    <xf numFmtId="0" fontId="11" fillId="5" borderId="36" applyAlignment="1" pivotButton="0" quotePrefix="0" xfId="0">
      <alignment horizontal="left" vertical="top" wrapText="1"/>
    </xf>
    <xf numFmtId="0" fontId="0" fillId="5" borderId="0" applyAlignment="1" applyProtection="1" pivotButton="0" quotePrefix="0" xfId="0">
      <alignment horizontal="center"/>
      <protection locked="1" hidden="1"/>
    </xf>
    <xf numFmtId="167" fontId="11" fillId="5" borderId="50" applyAlignment="1" applyProtection="1" pivotButton="0" quotePrefix="0" xfId="1">
      <alignment horizontal="right" vertical="center"/>
      <protection locked="1" hidden="1"/>
    </xf>
    <xf numFmtId="0" fontId="9" fillId="0" borderId="51" applyAlignment="1" pivotButton="0" quotePrefix="0" xfId="0">
      <alignment horizontal="left" vertical="top"/>
    </xf>
    <xf numFmtId="0" fontId="9" fillId="0" borderId="22" applyAlignment="1" pivotButton="0" quotePrefix="0" xfId="0">
      <alignment horizontal="center"/>
    </xf>
    <xf numFmtId="0" fontId="9" fillId="0" borderId="22" pivotButton="0" quotePrefix="0" xfId="0"/>
    <xf numFmtId="167" fontId="9" fillId="0" borderId="22" applyAlignment="1" applyProtection="1" pivotButton="0" quotePrefix="0" xfId="1">
      <alignment horizontal="right"/>
      <protection locked="1" hidden="1"/>
    </xf>
    <xf numFmtId="167" fontId="9" fillId="0" borderId="52" applyAlignment="1" applyProtection="1" pivotButton="0" quotePrefix="0" xfId="1">
      <alignment horizontal="right" vertical="center"/>
      <protection locked="1" hidden="1"/>
    </xf>
    <xf numFmtId="0" fontId="9" fillId="0" borderId="53" applyAlignment="1" pivotButton="0" quotePrefix="0" xfId="0">
      <alignment horizontal="left" vertical="top"/>
    </xf>
    <xf numFmtId="0" fontId="9" fillId="0" borderId="0" applyAlignment="1" pivotButton="0" quotePrefix="0" xfId="0">
      <alignment horizontal="center"/>
    </xf>
    <xf numFmtId="0" fontId="9" fillId="0" borderId="0" pivotButton="0" quotePrefix="0" xfId="0"/>
    <xf numFmtId="167" fontId="9" fillId="0" borderId="0" applyAlignment="1" applyProtection="1" pivotButton="0" quotePrefix="0" xfId="1">
      <alignment horizontal="right"/>
      <protection locked="1" hidden="1"/>
    </xf>
    <xf numFmtId="167" fontId="9" fillId="0" borderId="50" applyAlignment="1" applyProtection="1" pivotButton="0" quotePrefix="0" xfId="1">
      <alignment horizontal="right" vertical="center"/>
      <protection locked="1" hidden="1"/>
    </xf>
    <xf numFmtId="0" fontId="11" fillId="0" borderId="53" applyAlignment="1" pivotButton="0" quotePrefix="0" xfId="0">
      <alignment horizontal="left" vertical="top"/>
    </xf>
    <xf numFmtId="167" fontId="11" fillId="0" borderId="54" applyAlignment="1" applyProtection="1" pivotButton="0" quotePrefix="0" xfId="1">
      <alignment horizontal="right" vertical="center"/>
      <protection locked="1" hidden="1"/>
    </xf>
    <xf numFmtId="0" fontId="11" fillId="0" borderId="53" applyAlignment="1" pivotButton="0" quotePrefix="1" xfId="0">
      <alignment horizontal="left" vertical="top"/>
    </xf>
    <xf numFmtId="4" fontId="9" fillId="5" borderId="55" applyAlignment="1" pivotButton="0" quotePrefix="0" xfId="0">
      <alignment horizontal="left" vertical="top"/>
    </xf>
    <xf numFmtId="0" fontId="9" fillId="5" borderId="56" applyAlignment="1" pivotButton="0" quotePrefix="0" xfId="0">
      <alignment horizontal="center"/>
    </xf>
    <xf numFmtId="0" fontId="9" fillId="5" borderId="57" pivotButton="0" quotePrefix="0" xfId="0"/>
    <xf numFmtId="0" fontId="11" fillId="5" borderId="57" applyAlignment="1" pivotButton="0" quotePrefix="0" xfId="0">
      <alignment horizontal="right"/>
    </xf>
    <xf numFmtId="167" fontId="9" fillId="5" borderId="57" applyAlignment="1" applyProtection="1" pivotButton="0" quotePrefix="0" xfId="0">
      <alignment horizontal="right"/>
      <protection locked="1" hidden="1"/>
    </xf>
    <xf numFmtId="167" fontId="11" fillId="5" borderId="58" applyAlignment="1" applyProtection="1" pivotButton="0" quotePrefix="0" xfId="1">
      <alignment horizontal="right"/>
      <protection locked="1" hidden="1"/>
    </xf>
    <xf numFmtId="0" fontId="11" fillId="0" borderId="59" applyAlignment="1" pivotButton="0" quotePrefix="0" xfId="0">
      <alignment horizontal="left" vertical="top"/>
    </xf>
    <xf numFmtId="0" fontId="9" fillId="0" borderId="60" applyAlignment="1" pivotButton="0" quotePrefix="0" xfId="0">
      <alignment horizontal="center"/>
    </xf>
    <xf numFmtId="0" fontId="9" fillId="0" borderId="60" pivotButton="0" quotePrefix="0" xfId="0"/>
    <xf numFmtId="167" fontId="9" fillId="0" borderId="60" applyAlignment="1" applyProtection="1" pivotButton="0" quotePrefix="0" xfId="1">
      <alignment horizontal="right"/>
      <protection locked="1" hidden="1"/>
    </xf>
    <xf numFmtId="167" fontId="9" fillId="0" borderId="61" applyAlignment="1" applyProtection="1" pivotButton="0" quotePrefix="0" xfId="1">
      <alignment horizontal="right" vertical="center"/>
      <protection locked="1" hidden="1"/>
    </xf>
    <xf numFmtId="0" fontId="9" fillId="0" borderId="62" applyAlignment="1" pivotButton="0" quotePrefix="0" xfId="0">
      <alignment horizontal="left" vertical="top"/>
    </xf>
    <xf numFmtId="0" fontId="9" fillId="0" borderId="40" applyAlignment="1" pivotButton="0" quotePrefix="0" xfId="0">
      <alignment horizontal="center"/>
    </xf>
    <xf numFmtId="0" fontId="9" fillId="0" borderId="40" pivotButton="0" quotePrefix="0" xfId="0"/>
    <xf numFmtId="168" fontId="9" fillId="0" borderId="22" pivotButton="0" quotePrefix="0" xfId="2"/>
    <xf numFmtId="167" fontId="9" fillId="0" borderId="40" applyAlignment="1" applyProtection="1" pivotButton="0" quotePrefix="0" xfId="1">
      <alignment horizontal="right"/>
      <protection locked="1" hidden="1"/>
    </xf>
    <xf numFmtId="167" fontId="9" fillId="0" borderId="63" applyAlignment="1" applyProtection="1" pivotButton="0" quotePrefix="0" xfId="1">
      <alignment horizontal="right" vertical="center"/>
      <protection locked="1" hidden="1"/>
    </xf>
    <xf numFmtId="167" fontId="11" fillId="0" borderId="0" applyAlignment="1" applyProtection="1" pivotButton="0" quotePrefix="0" xfId="1">
      <alignment horizontal="right"/>
      <protection locked="1" hidden="1"/>
    </xf>
    <xf numFmtId="167" fontId="11" fillId="0" borderId="50" applyAlignment="1" applyProtection="1" pivotButton="0" quotePrefix="0" xfId="1">
      <alignment horizontal="right" vertical="center"/>
      <protection locked="1" hidden="1"/>
    </xf>
    <xf numFmtId="0" fontId="9" fillId="5" borderId="64" applyAlignment="1" pivotButton="0" quotePrefix="0" xfId="0">
      <alignment horizontal="left" vertical="top"/>
    </xf>
    <xf numFmtId="0" fontId="9" fillId="5" borderId="57" applyAlignment="1" pivotButton="0" quotePrefix="0" xfId="0">
      <alignment horizontal="center"/>
    </xf>
    <xf numFmtId="167" fontId="9" fillId="5" borderId="57" applyAlignment="1" applyProtection="1" pivotButton="0" quotePrefix="0" xfId="1">
      <alignment horizontal="right"/>
      <protection locked="1" hidden="1"/>
    </xf>
    <xf numFmtId="0" fontId="0" fillId="0" borderId="0" applyAlignment="1" applyProtection="1" pivotButton="0" quotePrefix="0" xfId="0">
      <alignment horizontal="center"/>
      <protection locked="1" hidden="1"/>
    </xf>
    <xf numFmtId="0" fontId="11" fillId="5" borderId="1" applyAlignment="1" applyProtection="1" pivotButton="0" quotePrefix="0" xfId="0">
      <alignment horizontal="left" vertical="top" wrapText="1"/>
      <protection locked="1" hidden="1"/>
    </xf>
    <xf numFmtId="0" fontId="11" fillId="5" borderId="2" applyAlignment="1" applyProtection="1" pivotButton="0" quotePrefix="0" xfId="0">
      <alignment horizontal="left" vertical="top" wrapText="1"/>
      <protection locked="1" hidden="1"/>
    </xf>
    <xf numFmtId="0" fontId="3" fillId="5" borderId="2" applyAlignment="1" applyProtection="1" pivotButton="0" quotePrefix="0" xfId="0">
      <alignment horizontal="center"/>
      <protection locked="1" hidden="1"/>
    </xf>
    <xf numFmtId="167" fontId="11" fillId="5" borderId="3" applyAlignment="1" applyProtection="1" pivotButton="0" quotePrefix="0" xfId="1">
      <alignment horizontal="right" vertical="top"/>
      <protection locked="1" hidden="1"/>
    </xf>
    <xf numFmtId="0" fontId="11" fillId="5" borderId="49" applyAlignment="1" applyProtection="1" pivotButton="0" quotePrefix="0" xfId="0">
      <alignment horizontal="left" vertical="top" wrapText="1"/>
      <protection locked="1" hidden="1"/>
    </xf>
    <xf numFmtId="0" fontId="11" fillId="5" borderId="36" applyAlignment="1" applyProtection="1" pivotButton="0" quotePrefix="0" xfId="0">
      <alignment horizontal="left" vertical="top" wrapText="1"/>
      <protection locked="1" hidden="1"/>
    </xf>
    <xf numFmtId="0" fontId="3" fillId="5" borderId="0" applyAlignment="1" applyProtection="1" pivotButton="0" quotePrefix="0" xfId="0">
      <alignment horizontal="center"/>
      <protection locked="1" hidden="1"/>
    </xf>
    <xf numFmtId="167" fontId="11" fillId="5" borderId="50" applyAlignment="1" applyProtection="1" pivotButton="0" quotePrefix="0" xfId="1">
      <alignment horizontal="right" vertical="top"/>
      <protection locked="1" hidden="1"/>
    </xf>
    <xf numFmtId="0" fontId="9" fillId="0" borderId="51" applyAlignment="1" applyProtection="1" pivotButton="0" quotePrefix="0" xfId="0">
      <alignment horizontal="left" vertical="center"/>
      <protection locked="1" hidden="1"/>
    </xf>
    <xf numFmtId="0" fontId="9" fillId="0" borderId="22" applyAlignment="1" applyProtection="1" pivotButton="0" quotePrefix="0" xfId="0">
      <alignment horizontal="center" vertical="center"/>
      <protection locked="1" hidden="1"/>
    </xf>
    <xf numFmtId="0" fontId="9" fillId="0" borderId="22" applyAlignment="1" applyProtection="1" pivotButton="0" quotePrefix="0" xfId="0">
      <alignment vertical="center"/>
      <protection locked="1" hidden="1"/>
    </xf>
    <xf numFmtId="167" fontId="9" fillId="0" borderId="22" applyAlignment="1" applyProtection="1" pivotButton="0" quotePrefix="0" xfId="1">
      <alignment horizontal="right" vertical="center"/>
      <protection locked="1" hidden="1"/>
    </xf>
    <xf numFmtId="0" fontId="9" fillId="0" borderId="53" applyAlignment="1" applyProtection="1" pivotButton="0" quotePrefix="0" xfId="0">
      <alignment horizontal="left" vertical="top"/>
      <protection locked="1" hidden="1"/>
    </xf>
    <xf numFmtId="0" fontId="9" fillId="0" borderId="0" applyAlignment="1" applyProtection="1" pivotButton="0" quotePrefix="0" xfId="0">
      <alignment horizontal="center"/>
      <protection locked="1" hidden="1"/>
    </xf>
    <xf numFmtId="0" fontId="9" fillId="0" borderId="0" applyProtection="1" pivotButton="0" quotePrefix="0" xfId="0">
      <protection locked="1" hidden="1"/>
    </xf>
    <xf numFmtId="0" fontId="11" fillId="0" borderId="53" applyAlignment="1" applyProtection="1" pivotButton="0" quotePrefix="0" xfId="0">
      <alignment horizontal="left" vertical="top"/>
      <protection locked="1" hidden="1"/>
    </xf>
    <xf numFmtId="167" fontId="11" fillId="0" borderId="52" applyAlignment="1" applyProtection="1" pivotButton="0" quotePrefix="0" xfId="1">
      <alignment horizontal="right" vertical="center"/>
      <protection locked="1" hidden="1"/>
    </xf>
    <xf numFmtId="0" fontId="9" fillId="0" borderId="51" applyAlignment="1" applyProtection="1" pivotButton="0" quotePrefix="0" xfId="0">
      <alignment horizontal="left" vertical="top"/>
      <protection locked="1" hidden="1"/>
    </xf>
    <xf numFmtId="0" fontId="9" fillId="0" borderId="22" applyAlignment="1" applyProtection="1" pivotButton="0" quotePrefix="0" xfId="0">
      <alignment horizontal="center"/>
      <protection locked="1" hidden="1"/>
    </xf>
    <xf numFmtId="0" fontId="9" fillId="0" borderId="22" applyProtection="1" pivotButton="0" quotePrefix="0" xfId="0">
      <protection locked="1" hidden="1"/>
    </xf>
    <xf numFmtId="0" fontId="11" fillId="0" borderId="53" applyAlignment="1" applyProtection="1" pivotButton="0" quotePrefix="1" xfId="0">
      <alignment horizontal="left" vertical="top"/>
      <protection locked="1" hidden="1"/>
    </xf>
    <xf numFmtId="4" fontId="9" fillId="5" borderId="55" applyAlignment="1" applyProtection="1" pivotButton="0" quotePrefix="0" xfId="0">
      <alignment horizontal="left" vertical="top"/>
      <protection locked="1" hidden="1"/>
    </xf>
    <xf numFmtId="0" fontId="9" fillId="5" borderId="56" applyAlignment="1" applyProtection="1" pivotButton="0" quotePrefix="0" xfId="0">
      <alignment horizontal="center"/>
      <protection locked="1" hidden="1"/>
    </xf>
    <xf numFmtId="0" fontId="9" fillId="5" borderId="57" applyProtection="1" pivotButton="0" quotePrefix="0" xfId="0">
      <protection locked="1" hidden="1"/>
    </xf>
    <xf numFmtId="0" fontId="11" fillId="5" borderId="57" applyAlignment="1" applyProtection="1" pivotButton="0" quotePrefix="0" xfId="0">
      <alignment horizontal="right"/>
      <protection locked="1" hidden="1"/>
    </xf>
    <xf numFmtId="0" fontId="11" fillId="0" borderId="59" applyAlignment="1" applyProtection="1" pivotButton="0" quotePrefix="0" xfId="0">
      <alignment horizontal="left" vertical="top"/>
      <protection locked="1" hidden="1"/>
    </xf>
    <xf numFmtId="0" fontId="9" fillId="0" borderId="60" applyAlignment="1" applyProtection="1" pivotButton="0" quotePrefix="0" xfId="0">
      <alignment horizontal="center"/>
      <protection locked="1" hidden="1"/>
    </xf>
    <xf numFmtId="0" fontId="9" fillId="0" borderId="60" applyProtection="1" pivotButton="0" quotePrefix="0" xfId="0">
      <protection locked="1" hidden="1"/>
    </xf>
    <xf numFmtId="0" fontId="9" fillId="0" borderId="62" applyAlignment="1" applyProtection="1" pivotButton="0" quotePrefix="0" xfId="0">
      <alignment horizontal="left" vertical="top"/>
      <protection locked="1" hidden="1"/>
    </xf>
    <xf numFmtId="0" fontId="9" fillId="0" borderId="40" applyAlignment="1" applyProtection="1" pivotButton="0" quotePrefix="0" xfId="0">
      <alignment horizontal="center"/>
      <protection locked="1" hidden="1"/>
    </xf>
    <xf numFmtId="0" fontId="9" fillId="0" borderId="40" applyProtection="1" pivotButton="0" quotePrefix="0" xfId="0">
      <protection locked="1" hidden="1"/>
    </xf>
    <xf numFmtId="9" fontId="9" fillId="0" borderId="22" applyProtection="1" pivotButton="0" quotePrefix="0" xfId="0">
      <protection locked="1" hidden="1"/>
    </xf>
    <xf numFmtId="0" fontId="9" fillId="5" borderId="64" applyAlignment="1" applyProtection="1" pivotButton="0" quotePrefix="0" xfId="0">
      <alignment horizontal="left" vertical="top"/>
      <protection locked="1" hidden="1"/>
    </xf>
    <xf numFmtId="0" fontId="9" fillId="5" borderId="57" applyAlignment="1" applyProtection="1" pivotButton="0" quotePrefix="0" xfId="0">
      <alignment horizontal="center"/>
      <protection locked="1" hidden="1"/>
    </xf>
    <xf numFmtId="0" fontId="9" fillId="0" borderId="51" applyAlignment="1" pivotButton="0" quotePrefix="1" xfId="0">
      <alignment horizontal="left" vertical="top"/>
    </xf>
    <xf numFmtId="0" fontId="11" fillId="5" borderId="53" applyAlignment="1" pivotButton="0" quotePrefix="0" xfId="0">
      <alignment horizontal="left" vertical="top" wrapText="1"/>
    </xf>
    <xf numFmtId="0" fontId="11" fillId="5" borderId="0" applyAlignment="1" pivotButton="0" quotePrefix="0" xfId="0">
      <alignment horizontal="left" vertical="top" wrapText="1"/>
    </xf>
    <xf numFmtId="0" fontId="0" fillId="5" borderId="0" applyAlignment="1" applyProtection="1" pivotButton="0" quotePrefix="0" xfId="0">
      <alignment horizontal="center"/>
      <protection locked="1" hidden="1"/>
    </xf>
    <xf numFmtId="165" fontId="12" fillId="7" borderId="22" applyAlignment="1" pivotButton="0" quotePrefix="0" xfId="1">
      <alignment horizontal="center" vertical="center" wrapText="1"/>
    </xf>
    <xf numFmtId="165" fontId="12" fillId="7" borderId="65" applyAlignment="1" pivotButton="0" quotePrefix="0" xfId="1">
      <alignment horizontal="center" vertical="center" wrapText="1"/>
    </xf>
    <xf numFmtId="169" fontId="12" fillId="7" borderId="22" applyAlignment="1" pivotButton="0" quotePrefix="0" xfId="1">
      <alignment horizontal="center" vertical="center" wrapText="1"/>
    </xf>
    <xf numFmtId="0" fontId="13" fillId="0" borderId="0" pivotButton="0" quotePrefix="0" xfId="0"/>
    <xf numFmtId="0" fontId="3" fillId="0" borderId="0" pivotButton="0" quotePrefix="0" xfId="0"/>
    <xf numFmtId="4" fontId="6" fillId="0" borderId="0" pivotButton="0" quotePrefix="0" xfId="0"/>
    <xf numFmtId="165" fontId="14" fillId="8" borderId="22" applyAlignment="1" pivotButton="0" quotePrefix="0" xfId="1">
      <alignment horizontal="center" vertical="center" wrapText="1"/>
    </xf>
    <xf numFmtId="165" fontId="14" fillId="8" borderId="65" applyAlignment="1" pivotButton="0" quotePrefix="0" xfId="1">
      <alignment horizontal="center" vertical="center" wrapText="1"/>
    </xf>
    <xf numFmtId="4" fontId="14" fillId="8" borderId="22" applyAlignment="1" pivotButton="0" quotePrefix="0" xfId="1">
      <alignment horizontal="center" vertical="center" wrapText="1"/>
    </xf>
    <xf numFmtId="0" fontId="0" fillId="0" borderId="22" pivotButton="0" quotePrefix="0" xfId="0"/>
    <xf numFmtId="0" fontId="0" fillId="0" borderId="65" applyAlignment="1" pivotButton="0" quotePrefix="0" xfId="0">
      <alignment horizontal="center"/>
    </xf>
    <xf numFmtId="4" fontId="0" fillId="0" borderId="22" pivotButton="0" quotePrefix="0" xfId="0"/>
    <xf numFmtId="4" fontId="0" fillId="0" borderId="22" pivotButton="0" quotePrefix="0" xfId="1"/>
    <xf numFmtId="0" fontId="0" fillId="8" borderId="65" pivotButton="0" quotePrefix="0" xfId="0"/>
    <xf numFmtId="0" fontId="6" fillId="8" borderId="40" applyAlignment="1" pivotButton="0" quotePrefix="0" xfId="0">
      <alignment horizontal="center"/>
    </xf>
    <xf numFmtId="165" fontId="6" fillId="8" borderId="40" pivotButton="0" quotePrefix="0" xfId="1"/>
    <xf numFmtId="4" fontId="6" fillId="8" borderId="41" applyAlignment="1" pivotButton="0" quotePrefix="0" xfId="1">
      <alignment horizontal="right"/>
    </xf>
    <xf numFmtId="167" fontId="6" fillId="8" borderId="65" pivotButton="0" quotePrefix="0" xfId="1"/>
    <xf numFmtId="0" fontId="3" fillId="0" borderId="7" applyAlignment="1" applyProtection="1" pivotButton="0" quotePrefix="0" xfId="0">
      <alignment horizontal="center" vertical="top" wrapText="1"/>
      <protection locked="0" hidden="0"/>
    </xf>
    <xf numFmtId="0" fontId="3" fillId="0" borderId="9" applyAlignment="1" applyProtection="1" pivotButton="0" quotePrefix="0" xfId="0">
      <alignment horizontal="center" vertical="top" wrapText="1"/>
      <protection locked="0" hidden="0"/>
    </xf>
    <xf numFmtId="0" fontId="3" fillId="0" borderId="6" applyAlignment="1" applyProtection="1" pivotButton="0" quotePrefix="0" xfId="0">
      <alignment horizontal="center" vertical="top" wrapText="1"/>
      <protection locked="0" hidden="0"/>
    </xf>
    <xf numFmtId="0" fontId="3" fillId="0" borderId="5" applyAlignment="1" applyProtection="1" pivotButton="0" quotePrefix="0" xfId="0">
      <alignment horizontal="center" vertical="top" wrapText="1"/>
      <protection locked="0" hidden="0"/>
    </xf>
    <xf numFmtId="0" fontId="2" fillId="0" borderId="7" applyAlignment="1" applyProtection="1" pivotButton="0" quotePrefix="0" xfId="0">
      <alignment horizontal="center" vertical="center" wrapText="1"/>
      <protection locked="0" hidden="0"/>
    </xf>
    <xf numFmtId="0" fontId="2" fillId="0" borderId="9" applyAlignment="1" applyProtection="1" pivotButton="0" quotePrefix="0" xfId="0">
      <alignment horizontal="center" vertical="center" wrapText="1"/>
      <protection locked="0" hidden="0"/>
    </xf>
    <xf numFmtId="0" fontId="2" fillId="0" borderId="5" applyAlignment="1" applyProtection="1" pivotButton="0" quotePrefix="0" xfId="0">
      <alignment horizontal="center" vertical="center" wrapText="1"/>
      <protection locked="0" hidden="0"/>
    </xf>
    <xf numFmtId="0" fontId="0" fillId="0" borderId="10" applyAlignment="1" pivotButton="0" quotePrefix="0" xfId="0">
      <alignment horizontal="center"/>
    </xf>
    <xf numFmtId="0" fontId="0" fillId="0" borderId="13" applyAlignment="1" pivotButton="0" quotePrefix="0" xfId="0">
      <alignment horizontal="center"/>
    </xf>
    <xf numFmtId="0" fontId="11" fillId="0" borderId="12" applyAlignment="1" applyProtection="1" pivotButton="0" quotePrefix="0" xfId="0">
      <alignment horizontal="left" vertical="top"/>
      <protection locked="1" hidden="1"/>
    </xf>
    <xf numFmtId="165" fontId="11" fillId="0" borderId="12" applyAlignment="1" applyProtection="1" pivotButton="0" quotePrefix="0" xfId="1">
      <alignment horizontal="center" vertical="top" wrapText="1"/>
      <protection locked="1" hidden="1"/>
    </xf>
    <xf numFmtId="165" fontId="11" fillId="0" borderId="66" applyAlignment="1" applyProtection="1" pivotButton="0" quotePrefix="0" xfId="1">
      <alignment horizontal="center" vertical="top" wrapText="1"/>
      <protection locked="1" hidden="1"/>
    </xf>
    <xf numFmtId="165" fontId="11" fillId="0" borderId="0" applyAlignment="1" applyProtection="1" pivotButton="0" quotePrefix="0" xfId="1">
      <alignment horizontal="center" vertical="top" wrapText="1"/>
      <protection locked="1" hidden="1"/>
    </xf>
    <xf numFmtId="167" fontId="9" fillId="0" borderId="0" applyAlignment="1" applyProtection="1" pivotButton="0" quotePrefix="0" xfId="1">
      <alignment vertical="top"/>
      <protection locked="1" hidden="1"/>
    </xf>
    <xf numFmtId="0" fontId="16" fillId="0" borderId="0" applyAlignment="1" applyProtection="1" pivotButton="0" quotePrefix="0" xfId="0">
      <alignment horizontal="right" vertical="top"/>
      <protection locked="1" hidden="1"/>
    </xf>
    <xf numFmtId="10" fontId="16" fillId="0" borderId="0" applyAlignment="1" applyProtection="1" pivotButton="0" quotePrefix="0" xfId="2">
      <alignment horizontal="right" vertical="top" wrapText="1"/>
      <protection locked="1" hidden="1"/>
    </xf>
    <xf numFmtId="167" fontId="11" fillId="0" borderId="0" applyAlignment="1" applyProtection="1" pivotButton="0" quotePrefix="0" xfId="1">
      <alignment horizontal="center" vertical="top" wrapText="1"/>
      <protection locked="1" hidden="1"/>
    </xf>
    <xf numFmtId="10" fontId="16" fillId="0" borderId="0" applyAlignment="1" applyProtection="1" pivotButton="0" quotePrefix="0" xfId="1">
      <alignment horizontal="right" vertical="top" wrapText="1"/>
      <protection locked="1" hidden="1"/>
    </xf>
    <xf numFmtId="0" fontId="11" fillId="0" borderId="12" applyAlignment="1" applyProtection="1" pivotButton="0" quotePrefix="0" xfId="1">
      <alignment horizontal="right" vertical="top" wrapText="1"/>
      <protection locked="0" hidden="1"/>
    </xf>
    <xf numFmtId="0" fontId="11" fillId="0" borderId="66" applyAlignment="1" applyProtection="1" pivotButton="0" quotePrefix="0" xfId="1">
      <alignment horizontal="right" vertical="top" wrapText="1"/>
      <protection locked="0" hidden="1"/>
    </xf>
    <xf numFmtId="0" fontId="11" fillId="0" borderId="0" applyAlignment="1" applyProtection="1" pivotButton="0" quotePrefix="0" xfId="1">
      <alignment horizontal="right" vertical="top" wrapText="1"/>
      <protection locked="0" hidden="1"/>
    </xf>
    <xf numFmtId="10" fontId="16" fillId="0" borderId="0" applyAlignment="1" applyProtection="1" pivotButton="0" quotePrefix="0" xfId="2">
      <alignment horizontal="right" vertical="top" wrapText="1"/>
      <protection locked="1" hidden="1"/>
    </xf>
    <xf numFmtId="9" fontId="17" fillId="9" borderId="12" applyAlignment="1" applyProtection="1" pivotButton="0" quotePrefix="0" xfId="2">
      <alignment horizontal="right" vertical="top" wrapText="1"/>
      <protection locked="0" hidden="1"/>
    </xf>
    <xf numFmtId="9" fontId="17" fillId="0" borderId="66" applyAlignment="1" applyProtection="1" pivotButton="0" quotePrefix="0" xfId="2">
      <alignment horizontal="right" vertical="top" wrapText="1"/>
      <protection locked="0" hidden="1"/>
    </xf>
    <xf numFmtId="9" fontId="17" fillId="0" borderId="0" applyAlignment="1" applyProtection="1" pivotButton="0" quotePrefix="0" xfId="2">
      <alignment horizontal="right" vertical="top" wrapText="1"/>
      <protection locked="0" hidden="1"/>
    </xf>
    <xf numFmtId="167" fontId="9" fillId="0" borderId="0" applyProtection="1" pivotButton="0" quotePrefix="0" xfId="1">
      <protection locked="1" hidden="1"/>
    </xf>
    <xf numFmtId="0" fontId="11" fillId="0" borderId="0" applyAlignment="1" applyProtection="1" pivotButton="0" quotePrefix="0" xfId="0">
      <alignment horizontal="left" vertical="top"/>
      <protection locked="1" hidden="1"/>
    </xf>
    <xf numFmtId="0" fontId="9" fillId="0" borderId="0" applyAlignment="1" applyProtection="1" pivotButton="0" quotePrefix="0" xfId="0">
      <alignment vertical="top"/>
      <protection locked="1" hidden="1"/>
    </xf>
    <xf numFmtId="165" fontId="9" fillId="0" borderId="0" applyAlignment="1" applyProtection="1" pivotButton="0" quotePrefix="0" xfId="1">
      <alignment vertical="top"/>
      <protection locked="1" hidden="1"/>
    </xf>
    <xf numFmtId="167" fontId="9" fillId="0" borderId="0" applyAlignment="1" applyProtection="1" pivotButton="0" quotePrefix="0" xfId="1">
      <alignment vertical="top"/>
      <protection locked="1" hidden="1"/>
    </xf>
    <xf numFmtId="0" fontId="9" fillId="0" borderId="0" applyAlignment="1" applyProtection="1" pivotButton="0" quotePrefix="0" xfId="0">
      <alignment horizontal="center" vertical="top"/>
      <protection locked="1" hidden="1"/>
    </xf>
    <xf numFmtId="0" fontId="11" fillId="10" borderId="67" applyAlignment="1" applyProtection="1" pivotButton="0" quotePrefix="0" xfId="0">
      <alignment horizontal="center" vertical="center"/>
      <protection locked="1" hidden="1"/>
    </xf>
    <xf numFmtId="165" fontId="11" fillId="10" borderId="68" applyAlignment="1" applyProtection="1" pivotButton="0" quotePrefix="0" xfId="1">
      <alignment horizontal="center" vertical="top" wrapText="1"/>
      <protection locked="1" hidden="1"/>
    </xf>
    <xf numFmtId="165" fontId="18" fillId="10" borderId="68" applyAlignment="1" applyProtection="1" pivotButton="0" quotePrefix="0" xfId="1">
      <alignment horizontal="center" vertical="top" wrapText="1"/>
      <protection locked="1" hidden="1"/>
    </xf>
    <xf numFmtId="165" fontId="12" fillId="10" borderId="68" applyAlignment="1" applyProtection="1" pivotButton="0" quotePrefix="0" xfId="1">
      <alignment horizontal="center" vertical="top" wrapText="1"/>
      <protection locked="1" hidden="1"/>
    </xf>
    <xf numFmtId="167" fontId="11" fillId="10" borderId="68" applyAlignment="1" applyProtection="1" pivotButton="0" quotePrefix="0" xfId="1">
      <alignment horizontal="center" vertical="top" wrapText="1"/>
      <protection locked="1" hidden="1"/>
    </xf>
    <xf numFmtId="0" fontId="11" fillId="10" borderId="68" applyAlignment="1" applyProtection="1" pivotButton="0" quotePrefix="0" xfId="0">
      <alignment horizontal="center" vertical="top" wrapText="1"/>
      <protection locked="1" hidden="1"/>
    </xf>
    <xf numFmtId="167" fontId="11" fillId="10" borderId="69" applyAlignment="1" applyProtection="1" pivotButton="0" quotePrefix="0" xfId="1">
      <alignment horizontal="center" vertical="top" wrapText="1"/>
      <protection locked="1" hidden="1"/>
    </xf>
    <xf numFmtId="0" fontId="11" fillId="10" borderId="29" applyAlignment="1" applyProtection="1" pivotButton="0" quotePrefix="0" xfId="0">
      <alignment vertical="top"/>
      <protection locked="1" hidden="1"/>
    </xf>
    <xf numFmtId="165" fontId="11" fillId="10" borderId="4" applyAlignment="1" applyProtection="1" pivotButton="0" quotePrefix="0" xfId="1">
      <alignment vertical="top"/>
      <protection locked="1" hidden="1"/>
    </xf>
    <xf numFmtId="167" fontId="11" fillId="10" borderId="4" applyAlignment="1" applyProtection="1" pivotButton="0" quotePrefix="0" xfId="1">
      <alignment vertical="top"/>
      <protection locked="1" hidden="1"/>
    </xf>
    <xf numFmtId="10" fontId="11" fillId="10" borderId="4" applyAlignment="1" applyProtection="1" pivotButton="0" quotePrefix="0" xfId="2">
      <alignment horizontal="center" vertical="top"/>
      <protection locked="1" hidden="1"/>
    </xf>
    <xf numFmtId="167" fontId="11" fillId="10" borderId="30" applyAlignment="1" applyProtection="1" pivotButton="0" quotePrefix="0" xfId="1">
      <alignment vertical="top"/>
      <protection locked="1" hidden="1"/>
    </xf>
    <xf numFmtId="0" fontId="9" fillId="0" borderId="70" applyAlignment="1" applyProtection="1" pivotButton="0" quotePrefix="0" xfId="0">
      <alignment vertical="top"/>
      <protection locked="1" hidden="1"/>
    </xf>
    <xf numFmtId="165" fontId="9" fillId="0" borderId="12" applyAlignment="1" applyProtection="1" pivotButton="0" quotePrefix="0" xfId="1">
      <alignment vertical="top"/>
      <protection locked="1" hidden="1"/>
    </xf>
    <xf numFmtId="9" fontId="9" fillId="9" borderId="12" applyAlignment="1" applyProtection="1" pivotButton="0" quotePrefix="0" xfId="2">
      <alignment vertical="top"/>
      <protection locked="0" hidden="1"/>
    </xf>
    <xf numFmtId="166" fontId="9" fillId="0" borderId="12" applyAlignment="1" applyProtection="1" pivotButton="0" quotePrefix="0" xfId="1">
      <alignment vertical="top"/>
      <protection locked="0" hidden="1"/>
    </xf>
    <xf numFmtId="167" fontId="9" fillId="0" borderId="12" applyAlignment="1" applyProtection="1" pivotButton="0" quotePrefix="0" xfId="1">
      <alignment vertical="top"/>
      <protection locked="1" hidden="1"/>
    </xf>
    <xf numFmtId="10" fontId="9" fillId="0" borderId="12" applyAlignment="1" applyProtection="1" pivotButton="0" quotePrefix="0" xfId="2">
      <alignment horizontal="center" vertical="top"/>
      <protection locked="1" hidden="1"/>
    </xf>
    <xf numFmtId="167" fontId="9" fillId="0" borderId="71" applyAlignment="1" applyProtection="1" pivotButton="0" quotePrefix="0" xfId="1">
      <alignment vertical="top"/>
      <protection locked="1" hidden="1"/>
    </xf>
    <xf numFmtId="165" fontId="9" fillId="0" borderId="12" applyAlignment="1" applyProtection="1" pivotButton="0" quotePrefix="0" xfId="1">
      <alignment vertical="top"/>
      <protection locked="1" hidden="1"/>
    </xf>
    <xf numFmtId="167" fontId="11" fillId="0" borderId="12" applyAlignment="1" applyProtection="1" pivotButton="0" quotePrefix="0" xfId="1">
      <alignment vertical="top"/>
      <protection locked="1" hidden="1"/>
    </xf>
    <xf numFmtId="0" fontId="11" fillId="10" borderId="72" applyAlignment="1" applyProtection="1" pivotButton="0" quotePrefix="0" xfId="0">
      <alignment vertical="top"/>
      <protection locked="1" hidden="1"/>
    </xf>
    <xf numFmtId="165" fontId="11" fillId="10" borderId="11" applyAlignment="1" applyProtection="1" pivotButton="0" quotePrefix="0" xfId="1">
      <alignment vertical="top"/>
      <protection locked="1" hidden="1"/>
    </xf>
    <xf numFmtId="165" fontId="14" fillId="10" borderId="11" applyAlignment="1" applyProtection="1" pivotButton="0" quotePrefix="0" xfId="1">
      <alignment horizontal="center" vertical="top"/>
      <protection locked="1" hidden="1"/>
    </xf>
    <xf numFmtId="167" fontId="11" fillId="10" borderId="11" applyAlignment="1" applyProtection="1" pivotButton="0" quotePrefix="0" xfId="1">
      <alignment vertical="top"/>
      <protection locked="1" hidden="1"/>
    </xf>
    <xf numFmtId="10" fontId="11" fillId="10" borderId="11" applyAlignment="1" applyProtection="1" pivotButton="0" quotePrefix="0" xfId="2">
      <alignment horizontal="center" vertical="top"/>
      <protection locked="1" hidden="1"/>
    </xf>
    <xf numFmtId="167" fontId="11" fillId="10" borderId="73" applyAlignment="1" applyProtection="1" pivotButton="0" quotePrefix="0" xfId="1">
      <alignment vertical="top"/>
      <protection locked="1" hidden="1"/>
    </xf>
    <xf numFmtId="165" fontId="9" fillId="9" borderId="12" applyAlignment="1" applyProtection="1" pivotButton="0" quotePrefix="0" xfId="1">
      <alignment vertical="top"/>
      <protection locked="0" hidden="1"/>
    </xf>
    <xf numFmtId="166" fontId="9" fillId="0" borderId="12" applyAlignment="1" applyProtection="1" pivotButton="0" quotePrefix="0" xfId="1">
      <alignment vertical="top"/>
      <protection locked="1" hidden="1"/>
    </xf>
    <xf numFmtId="9" fontId="9" fillId="0" borderId="12" applyAlignment="1" applyProtection="1" pivotButton="0" quotePrefix="0" xfId="2">
      <alignment vertical="top"/>
      <protection locked="1" hidden="1"/>
    </xf>
    <xf numFmtId="9" fontId="9" fillId="0" borderId="10" applyAlignment="1" applyProtection="1" pivotButton="0" quotePrefix="0" xfId="2">
      <alignment vertical="top"/>
      <protection locked="1" hidden="1"/>
    </xf>
    <xf numFmtId="9" fontId="9" fillId="0" borderId="12" applyAlignment="1" applyProtection="1" pivotButton="0" quotePrefix="0" xfId="2">
      <alignment vertical="top"/>
      <protection locked="1" hidden="1"/>
    </xf>
    <xf numFmtId="0" fontId="11" fillId="10" borderId="72" applyProtection="1" pivotButton="0" quotePrefix="0" xfId="0">
      <protection locked="1" hidden="1"/>
    </xf>
    <xf numFmtId="165" fontId="9" fillId="10" borderId="12" applyAlignment="1" applyProtection="1" pivotButton="0" quotePrefix="0" xfId="1">
      <alignment horizontal="center" wrapText="1"/>
      <protection locked="1" hidden="1"/>
    </xf>
    <xf numFmtId="167" fontId="11" fillId="10" borderId="11" applyProtection="1" pivotButton="0" quotePrefix="0" xfId="1">
      <protection locked="1" hidden="1"/>
    </xf>
    <xf numFmtId="10" fontId="11" fillId="10" borderId="11" applyAlignment="1" applyProtection="1" pivotButton="0" quotePrefix="0" xfId="2">
      <alignment horizontal="center"/>
      <protection locked="1" hidden="1"/>
    </xf>
    <xf numFmtId="167" fontId="11" fillId="10" borderId="73" applyProtection="1" pivotButton="0" quotePrefix="0" xfId="1">
      <protection locked="1" hidden="1"/>
    </xf>
    <xf numFmtId="10" fontId="9" fillId="9" borderId="12" applyAlignment="1" applyProtection="1" pivotButton="0" quotePrefix="0" xfId="2">
      <alignment vertical="top"/>
      <protection locked="0" hidden="1"/>
    </xf>
    <xf numFmtId="1" fontId="9" fillId="9" borderId="12" applyAlignment="1" applyProtection="1" pivotButton="0" quotePrefix="0" xfId="2">
      <alignment horizontal="center" vertical="top"/>
      <protection locked="1" hidden="1"/>
    </xf>
    <xf numFmtId="10" fontId="9" fillId="9" borderId="12" applyAlignment="1" applyProtection="1" pivotButton="0" quotePrefix="0" xfId="2">
      <alignment horizontal="center" vertical="top"/>
      <protection locked="0" hidden="1"/>
    </xf>
    <xf numFmtId="170" fontId="9" fillId="0" borderId="12" applyAlignment="1" applyProtection="1" pivotButton="0" quotePrefix="0" xfId="2">
      <alignment horizontal="center" vertical="top"/>
      <protection locked="1" hidden="1"/>
    </xf>
    <xf numFmtId="10" fontId="9" fillId="0" borderId="10" applyAlignment="1" applyProtection="1" pivotButton="0" quotePrefix="0" xfId="2">
      <alignment vertical="top"/>
      <protection locked="1" hidden="1"/>
    </xf>
    <xf numFmtId="0" fontId="9" fillId="11" borderId="70" applyAlignment="1" applyProtection="1" pivotButton="0" quotePrefix="0" xfId="0">
      <alignment vertical="top"/>
      <protection locked="0" hidden="1"/>
    </xf>
    <xf numFmtId="3" fontId="9" fillId="11" borderId="12" applyAlignment="1" applyProtection="1" pivotButton="0" quotePrefix="0" xfId="2">
      <alignment vertical="top"/>
      <protection locked="0" hidden="1"/>
    </xf>
    <xf numFmtId="10" fontId="9" fillId="11" borderId="10" applyAlignment="1" applyProtection="1" pivotButton="0" quotePrefix="0" xfId="2">
      <alignment horizontal="center" vertical="top"/>
      <protection locked="1" hidden="1"/>
    </xf>
    <xf numFmtId="10" fontId="9" fillId="11" borderId="13" applyAlignment="1" applyProtection="1" pivotButton="0" quotePrefix="0" xfId="2">
      <alignment horizontal="center" vertical="top"/>
      <protection locked="1" hidden="1"/>
    </xf>
    <xf numFmtId="3" fontId="9" fillId="11" borderId="12" applyAlignment="1" applyProtection="1" pivotButton="0" quotePrefix="0" xfId="1">
      <alignment vertical="top"/>
      <protection locked="1" hidden="1"/>
    </xf>
    <xf numFmtId="10" fontId="9" fillId="11" borderId="12" applyAlignment="1" applyProtection="1" pivotButton="0" quotePrefix="0" xfId="2">
      <alignment horizontal="center" vertical="top"/>
      <protection locked="1" hidden="1"/>
    </xf>
    <xf numFmtId="167" fontId="9" fillId="11" borderId="71" applyAlignment="1" applyProtection="1" pivotButton="0" quotePrefix="0" xfId="1">
      <alignment vertical="top"/>
      <protection locked="1" hidden="1"/>
    </xf>
    <xf numFmtId="0" fontId="11" fillId="10" borderId="70" applyAlignment="1" applyProtection="1" pivotButton="0" quotePrefix="0" xfId="0">
      <alignment vertical="top"/>
      <protection locked="0" hidden="1"/>
    </xf>
    <xf numFmtId="3" fontId="9" fillId="10" borderId="12" applyAlignment="1" applyProtection="1" pivotButton="0" quotePrefix="0" xfId="2">
      <alignment vertical="top"/>
      <protection locked="0" hidden="1"/>
    </xf>
    <xf numFmtId="10" fontId="9" fillId="10" borderId="10" applyAlignment="1" applyProtection="1" pivotButton="0" quotePrefix="0" xfId="2">
      <alignment horizontal="center" vertical="top"/>
      <protection locked="1" hidden="1"/>
    </xf>
    <xf numFmtId="10" fontId="9" fillId="10" borderId="13" applyAlignment="1" applyProtection="1" pivotButton="0" quotePrefix="0" xfId="2">
      <alignment horizontal="center" vertical="top"/>
      <protection locked="1" hidden="1"/>
    </xf>
    <xf numFmtId="10" fontId="9" fillId="0" borderId="12" applyAlignment="1" applyProtection="1" pivotButton="0" quotePrefix="0" xfId="2">
      <alignment vertical="top"/>
      <protection locked="1" hidden="1"/>
    </xf>
    <xf numFmtId="165" fontId="9" fillId="0" borderId="10" applyAlignment="1" applyProtection="1" pivotButton="0" quotePrefix="0" xfId="2">
      <alignment horizontal="center" vertical="top"/>
      <protection locked="1" hidden="1"/>
    </xf>
    <xf numFmtId="10" fontId="9" fillId="0" borderId="13" applyAlignment="1" applyProtection="1" pivotButton="0" quotePrefix="0" xfId="2">
      <alignment horizontal="center" vertical="top"/>
      <protection locked="1" hidden="1"/>
    </xf>
    <xf numFmtId="167" fontId="9" fillId="9" borderId="12" applyAlignment="1" applyProtection="1" pivotButton="0" quotePrefix="0" xfId="1">
      <alignment vertical="top"/>
      <protection locked="0" hidden="0"/>
    </xf>
    <xf numFmtId="10" fontId="9" fillId="0" borderId="10" applyAlignment="1" applyProtection="1" pivotButton="0" quotePrefix="0" xfId="2">
      <alignment vertical="top"/>
      <protection locked="1" hidden="1"/>
    </xf>
    <xf numFmtId="10" fontId="9" fillId="0" borderId="13" applyAlignment="1" applyProtection="1" pivotButton="0" quotePrefix="0" xfId="2">
      <alignment vertical="top"/>
      <protection locked="1" hidden="1"/>
    </xf>
    <xf numFmtId="166" fontId="9" fillId="0" borderId="0" pivotButton="0" quotePrefix="0" xfId="0"/>
    <xf numFmtId="165" fontId="9" fillId="0" borderId="10" applyAlignment="1" applyProtection="1" pivotButton="0" quotePrefix="0" xfId="1">
      <alignment vertical="top"/>
      <protection locked="1" hidden="1"/>
    </xf>
    <xf numFmtId="165" fontId="9" fillId="0" borderId="13" applyAlignment="1" applyProtection="1" pivotButton="0" quotePrefix="0" xfId="1">
      <alignment vertical="top"/>
      <protection locked="1" hidden="1"/>
    </xf>
    <xf numFmtId="165" fontId="9" fillId="10" borderId="12" applyAlignment="1" applyProtection="1" pivotButton="0" quotePrefix="0" xfId="1">
      <alignment horizontal="center" vertical="top"/>
      <protection locked="1" hidden="1"/>
    </xf>
    <xf numFmtId="165" fontId="9" fillId="10" borderId="12" applyAlignment="1" applyProtection="1" pivotButton="0" quotePrefix="0" xfId="1">
      <alignment horizontal="center" vertical="top"/>
      <protection locked="1" hidden="1"/>
    </xf>
    <xf numFmtId="165" fontId="9" fillId="0" borderId="10" applyAlignment="1" applyProtection="1" pivotButton="0" quotePrefix="0" xfId="2">
      <alignment horizontal="center" vertical="top"/>
      <protection locked="1" hidden="1"/>
    </xf>
    <xf numFmtId="9" fontId="9" fillId="0" borderId="13" applyAlignment="1" applyProtection="1" pivotButton="0" quotePrefix="0" xfId="2">
      <alignment horizontal="center" vertical="top"/>
      <protection locked="1" hidden="1"/>
    </xf>
    <xf numFmtId="0" fontId="9" fillId="9" borderId="70" applyAlignment="1" applyProtection="1" pivotButton="0" quotePrefix="0" xfId="0">
      <alignment vertical="top"/>
      <protection locked="0" hidden="1"/>
    </xf>
    <xf numFmtId="165" fontId="9" fillId="0" borderId="10" applyAlignment="1" applyProtection="1" pivotButton="0" quotePrefix="0" xfId="1">
      <alignment horizontal="center" vertical="top"/>
      <protection locked="1" hidden="1"/>
    </xf>
    <xf numFmtId="165" fontId="9" fillId="0" borderId="13" applyAlignment="1" applyProtection="1" pivotButton="0" quotePrefix="0" xfId="1">
      <alignment horizontal="center" vertical="top"/>
      <protection locked="1" hidden="1"/>
    </xf>
    <xf numFmtId="0" fontId="9" fillId="0" borderId="74" applyAlignment="1" applyProtection="1" pivotButton="0" quotePrefix="0" xfId="0">
      <alignment vertical="top"/>
      <protection locked="1" hidden="1"/>
    </xf>
    <xf numFmtId="165" fontId="9" fillId="0" borderId="8" applyAlignment="1" applyProtection="1" pivotButton="0" quotePrefix="0" xfId="1">
      <alignment vertical="top"/>
      <protection locked="1" hidden="1"/>
    </xf>
    <xf numFmtId="167" fontId="9" fillId="0" borderId="8" applyAlignment="1" applyProtection="1" pivotButton="0" quotePrefix="0" xfId="1">
      <alignment vertical="top"/>
      <protection locked="1" hidden="1"/>
    </xf>
    <xf numFmtId="10" fontId="9" fillId="0" borderId="8" applyAlignment="1" applyProtection="1" pivotButton="0" quotePrefix="0" xfId="2">
      <alignment horizontal="center" vertical="top"/>
      <protection locked="1" hidden="1"/>
    </xf>
    <xf numFmtId="167" fontId="9" fillId="0" borderId="75" applyAlignment="1" applyProtection="1" pivotButton="0" quotePrefix="0" xfId="1">
      <alignment vertical="top"/>
      <protection locked="1" hidden="1"/>
    </xf>
    <xf numFmtId="0" fontId="9" fillId="0" borderId="29" applyAlignment="1" applyProtection="1" pivotButton="0" quotePrefix="0" xfId="0">
      <alignment vertical="top"/>
      <protection locked="1" hidden="1"/>
    </xf>
    <xf numFmtId="165" fontId="9" fillId="0" borderId="4" applyAlignment="1" applyProtection="1" pivotButton="0" quotePrefix="0" xfId="1">
      <alignment vertical="top"/>
      <protection locked="1" hidden="1"/>
    </xf>
    <xf numFmtId="167" fontId="9" fillId="0" borderId="4" applyAlignment="1" applyProtection="1" pivotButton="0" quotePrefix="0" xfId="1">
      <alignment vertical="top"/>
      <protection locked="1" hidden="1"/>
    </xf>
    <xf numFmtId="10" fontId="9" fillId="0" borderId="4" applyAlignment="1" applyProtection="1" pivotButton="0" quotePrefix="0" xfId="2">
      <alignment horizontal="center" vertical="top"/>
      <protection locked="1" hidden="1"/>
    </xf>
    <xf numFmtId="167" fontId="9" fillId="0" borderId="30" applyAlignment="1" applyProtection="1" pivotButton="0" quotePrefix="0" xfId="1">
      <alignment vertical="top"/>
      <protection locked="1" hidden="1"/>
    </xf>
    <xf numFmtId="0" fontId="9" fillId="0" borderId="72" applyAlignment="1" applyProtection="1" pivotButton="0" quotePrefix="0" xfId="0">
      <alignment vertical="top"/>
      <protection locked="1" hidden="1"/>
    </xf>
    <xf numFmtId="165" fontId="9" fillId="0" borderId="11" applyAlignment="1" applyProtection="1" pivotButton="0" quotePrefix="0" xfId="1">
      <alignment vertical="top"/>
      <protection locked="1" hidden="1"/>
    </xf>
    <xf numFmtId="167" fontId="9" fillId="0" borderId="11" applyAlignment="1" applyProtection="1" pivotButton="0" quotePrefix="0" xfId="1">
      <alignment horizontal="center" vertical="top"/>
      <protection locked="1" hidden="1"/>
    </xf>
    <xf numFmtId="10" fontId="11" fillId="0" borderId="13" applyAlignment="1" applyProtection="1" pivotButton="0" quotePrefix="0" xfId="2">
      <alignment horizontal="center" vertical="top"/>
      <protection locked="1" hidden="1"/>
    </xf>
    <xf numFmtId="167" fontId="9" fillId="0" borderId="8" applyAlignment="1" applyProtection="1" pivotButton="0" quotePrefix="0" xfId="1">
      <alignment horizontal="center" vertical="top"/>
      <protection locked="1" hidden="1"/>
    </xf>
    <xf numFmtId="10" fontId="11" fillId="0" borderId="8" applyAlignment="1" applyProtection="1" pivotButton="0" quotePrefix="0" xfId="2">
      <alignment horizontal="center" vertical="top"/>
      <protection locked="1" hidden="1"/>
    </xf>
    <xf numFmtId="0" fontId="11" fillId="0" borderId="29" applyAlignment="1" applyProtection="1" pivotButton="0" quotePrefix="0" xfId="0">
      <alignment vertical="top"/>
      <protection locked="1" hidden="1"/>
    </xf>
    <xf numFmtId="167" fontId="9" fillId="0" borderId="4" applyAlignment="1" applyProtection="1" pivotButton="0" quotePrefix="0" xfId="1">
      <alignment horizontal="center" vertical="top"/>
      <protection locked="1" hidden="1"/>
    </xf>
    <xf numFmtId="10" fontId="11" fillId="0" borderId="4" applyAlignment="1" applyProtection="1" pivotButton="0" quotePrefix="0" xfId="2">
      <alignment horizontal="center" vertical="top"/>
      <protection locked="1" hidden="1"/>
    </xf>
    <xf numFmtId="0" fontId="9" fillId="10" borderId="72" applyAlignment="1" applyProtection="1" pivotButton="0" quotePrefix="0" xfId="0">
      <alignment vertical="center"/>
      <protection locked="1" hidden="1"/>
    </xf>
    <xf numFmtId="165" fontId="9" fillId="10" borderId="4" applyAlignment="1" applyProtection="1" pivotButton="0" quotePrefix="0" xfId="1">
      <alignment vertical="center"/>
      <protection locked="1" hidden="1"/>
    </xf>
    <xf numFmtId="165" fontId="9" fillId="10" borderId="4" applyAlignment="1" applyProtection="1" pivotButton="0" quotePrefix="0" xfId="1">
      <alignment horizontal="center" vertical="center"/>
      <protection locked="1" hidden="1"/>
    </xf>
    <xf numFmtId="0" fontId="0" fillId="10" borderId="4" applyAlignment="1" applyProtection="1" pivotButton="0" quotePrefix="0" xfId="0">
      <alignment vertical="center"/>
      <protection locked="1" hidden="1"/>
    </xf>
    <xf numFmtId="167" fontId="9" fillId="10" borderId="5" applyAlignment="1" applyProtection="1" pivotButton="0" quotePrefix="0" xfId="1">
      <alignment horizontal="center" vertical="center"/>
      <protection locked="1" hidden="1"/>
    </xf>
    <xf numFmtId="10" fontId="11" fillId="10" borderId="12" applyAlignment="1" applyProtection="1" pivotButton="0" quotePrefix="0" xfId="2">
      <alignment horizontal="center" vertical="center"/>
      <protection locked="1" hidden="1"/>
    </xf>
    <xf numFmtId="167" fontId="11" fillId="10" borderId="71" applyAlignment="1" applyProtection="1" pivotButton="0" quotePrefix="0" xfId="1">
      <alignment vertical="center"/>
      <protection locked="1" hidden="1"/>
    </xf>
    <xf numFmtId="0" fontId="9" fillId="0" borderId="8" applyAlignment="1" applyProtection="1" pivotButton="0" quotePrefix="0" xfId="0">
      <alignment horizontal="center" vertical="top"/>
      <protection locked="1" hidden="1"/>
    </xf>
    <xf numFmtId="165" fontId="9" fillId="10" borderId="11" applyAlignment="1" applyProtection="1" pivotButton="0" quotePrefix="0" xfId="1">
      <alignment vertical="center"/>
      <protection locked="1" hidden="1"/>
    </xf>
    <xf numFmtId="167" fontId="9" fillId="10" borderId="13" applyAlignment="1" applyProtection="1" pivotButton="0" quotePrefix="0" xfId="1">
      <alignment vertical="center"/>
      <protection locked="1" hidden="1"/>
    </xf>
    <xf numFmtId="9" fontId="11" fillId="10" borderId="12" applyAlignment="1" applyProtection="1" pivotButton="0" quotePrefix="0" xfId="0">
      <alignment horizontal="center" vertical="center"/>
      <protection locked="1" hidden="1"/>
    </xf>
    <xf numFmtId="0" fontId="11" fillId="10" borderId="76" applyAlignment="1" applyProtection="1" pivotButton="0" quotePrefix="0" xfId="0">
      <alignment vertical="center"/>
      <protection locked="1" hidden="1"/>
    </xf>
    <xf numFmtId="165" fontId="9" fillId="10" borderId="77" applyAlignment="1" applyProtection="1" pivotButton="0" quotePrefix="0" xfId="1">
      <alignment vertical="center"/>
      <protection locked="1" hidden="1"/>
    </xf>
    <xf numFmtId="167" fontId="9" fillId="10" borderId="78" applyAlignment="1" applyProtection="1" pivotButton="0" quotePrefix="0" xfId="1">
      <alignment vertical="center"/>
      <protection locked="1" hidden="1"/>
    </xf>
    <xf numFmtId="10" fontId="11" fillId="10" borderId="68" applyAlignment="1" applyProtection="1" pivotButton="0" quotePrefix="0" xfId="2">
      <alignment horizontal="center" vertical="center"/>
      <protection locked="1" hidden="1"/>
    </xf>
    <xf numFmtId="167" fontId="11" fillId="10" borderId="69" applyAlignment="1" applyProtection="1" pivotButton="0" quotePrefix="0" xfId="1">
      <alignment vertical="center"/>
      <protection locked="1" hidden="1"/>
    </xf>
    <xf numFmtId="0" fontId="0" fillId="0" borderId="4" applyProtection="1" pivotButton="0" quotePrefix="0" xfId="0">
      <protection locked="1" hidden="1"/>
    </xf>
    <xf numFmtId="0" fontId="0" fillId="0" borderId="0" applyProtection="1" pivotButton="0" quotePrefix="0" xfId="0">
      <protection locked="0" hidden="0"/>
    </xf>
    <xf numFmtId="165" fontId="9" fillId="0" borderId="0" applyProtection="1" pivotButton="0" quotePrefix="0" xfId="1">
      <protection locked="1" hidden="1"/>
    </xf>
    <xf numFmtId="0" fontId="9" fillId="0" borderId="12" applyAlignment="1" applyProtection="1" pivotButton="0" quotePrefix="0" xfId="0">
      <alignment horizontal="center" vertical="top"/>
      <protection locked="1" hidden="1"/>
    </xf>
    <xf numFmtId="0" fontId="0" fillId="0" borderId="8" applyProtection="1" pivotButton="0" quotePrefix="0" xfId="0">
      <protection locked="0" hidden="0"/>
    </xf>
    <xf numFmtId="0" fontId="0" fillId="0" borderId="9" applyProtection="1" pivotButton="0" quotePrefix="0" xfId="0">
      <protection locked="0" hidden="0"/>
    </xf>
    <xf numFmtId="0" fontId="0" fillId="0" borderId="6" applyProtection="1" pivotButton="0" quotePrefix="0" xfId="0">
      <protection locked="0" hidden="0"/>
    </xf>
    <xf numFmtId="0" fontId="0" fillId="0" borderId="4" applyProtection="1" pivotButton="0" quotePrefix="0" xfId="0">
      <protection locked="0" hidden="0"/>
    </xf>
    <xf numFmtId="0" fontId="0" fillId="0" borderId="84" applyProtection="1" pivotButton="0" quotePrefix="0" xfId="0">
      <protection locked="0" hidden="0"/>
    </xf>
    <xf numFmtId="0" fontId="0" fillId="0" borderId="11" pivotButton="0" quotePrefix="0" xfId="0"/>
    <xf numFmtId="0" fontId="0" fillId="0" borderId="13" pivotButton="0" quotePrefix="0" xfId="0"/>
    <xf numFmtId="0" fontId="0" fillId="0" borderId="48" applyProtection="1" pivotButton="0" quotePrefix="0" xfId="0">
      <protection locked="0" hidden="0"/>
    </xf>
    <xf numFmtId="164" fontId="4" fillId="0" borderId="12" applyAlignment="1" applyProtection="1" pivotButton="0" quotePrefix="0" xfId="1">
      <alignment horizontal="center" vertical="top"/>
      <protection locked="0" hidden="0"/>
    </xf>
    <xf numFmtId="0" fontId="0" fillId="0" borderId="13" applyProtection="1" pivotButton="0" quotePrefix="0" xfId="0">
      <protection locked="0" hidden="0"/>
    </xf>
    <xf numFmtId="0" fontId="19" fillId="12" borderId="85" pivotButton="0" quotePrefix="0" xfId="0"/>
    <xf numFmtId="0" fontId="19" fillId="12" borderId="85" applyAlignment="1" pivotButton="0" quotePrefix="0" xfId="0">
      <alignment horizontal="left" vertical="center"/>
    </xf>
    <xf numFmtId="0" fontId="0" fillId="0" borderId="86" pivotButton="0" quotePrefix="0" xfId="0"/>
    <xf numFmtId="0" fontId="19" fillId="0" borderId="87" pivotButton="0" quotePrefix="0" xfId="0"/>
    <xf numFmtId="0" fontId="19" fillId="0" borderId="87" applyAlignment="1" pivotButton="0" quotePrefix="0" xfId="0">
      <alignment horizontal="right" vertical="center"/>
    </xf>
    <xf numFmtId="4" fontId="19" fillId="0" borderId="87" pivotButton="0" quotePrefix="0" xfId="0"/>
    <xf numFmtId="10" fontId="19" fillId="6" borderId="11" applyAlignment="1" applyProtection="1" pivotButton="0" quotePrefix="0" xfId="0">
      <alignment vertical="top"/>
      <protection locked="1" hidden="1"/>
    </xf>
    <xf numFmtId="4" fontId="19" fillId="6" borderId="13" applyAlignment="1" applyProtection="1" pivotButton="0" quotePrefix="0" xfId="1">
      <alignment vertical="top"/>
      <protection locked="1" hidden="1"/>
    </xf>
    <xf numFmtId="4" fontId="0" fillId="0" borderId="38" applyProtection="1" pivotButton="0" quotePrefix="0" xfId="1">
      <protection locked="1" hidden="1"/>
    </xf>
    <xf numFmtId="4" fontId="0" fillId="0" borderId="42" applyProtection="1" pivotButton="0" quotePrefix="0" xfId="1">
      <protection locked="1" hidden="1"/>
    </xf>
    <xf numFmtId="10" fontId="19" fillId="0" borderId="45" applyAlignment="1" applyProtection="1" pivotButton="0" quotePrefix="0" xfId="0">
      <alignment horizontal="center"/>
      <protection locked="1" hidden="1"/>
    </xf>
    <xf numFmtId="4" fontId="19" fillId="0" borderId="42" applyProtection="1" pivotButton="0" quotePrefix="0" xfId="1">
      <protection locked="1" hidden="1"/>
    </xf>
    <xf numFmtId="4" fontId="5" fillId="0" borderId="46" applyProtection="1" pivotButton="0" quotePrefix="0" xfId="1">
      <protection locked="1" hidden="1"/>
    </xf>
    <xf numFmtId="4" fontId="6" fillId="5" borderId="13" applyAlignment="1" applyProtection="1" pivotButton="0" quotePrefix="0" xfId="0">
      <alignment horizontal="right"/>
      <protection locked="1" hidden="1"/>
    </xf>
    <xf numFmtId="0" fontId="6" fillId="2" borderId="12" applyAlignment="1" applyProtection="1" pivotButton="0" quotePrefix="0" xfId="0">
      <alignment horizontal="center"/>
      <protection locked="1" hidden="1"/>
    </xf>
    <xf numFmtId="0" fontId="0" fillId="0" borderId="11" applyProtection="1" pivotButton="0" quotePrefix="0" xfId="0">
      <protection locked="1" hidden="1"/>
    </xf>
    <xf numFmtId="0" fontId="0" fillId="0" borderId="13" applyProtection="1" pivotButton="0" quotePrefix="0" xfId="0">
      <protection locked="1" hidden="1"/>
    </xf>
    <xf numFmtId="0" fontId="9" fillId="0" borderId="80" applyAlignment="1" applyProtection="1" pivotButton="0" quotePrefix="0" xfId="0">
      <alignment horizontal="left" vertical="center" wrapText="1"/>
      <protection locked="1" hidden="1"/>
    </xf>
    <xf numFmtId="0" fontId="0" fillId="0" borderId="8" applyAlignment="1" applyProtection="1" pivotButton="0" quotePrefix="0" xfId="0">
      <alignment horizontal="left" vertical="center" wrapText="1"/>
      <protection locked="1" hidden="1"/>
    </xf>
    <xf numFmtId="0" fontId="0" fillId="0" borderId="9" applyProtection="1" pivotButton="0" quotePrefix="0" xfId="0">
      <protection locked="1" hidden="1"/>
    </xf>
    <xf numFmtId="0" fontId="0" fillId="0" borderId="82" applyProtection="1" pivotButton="0" quotePrefix="0" xfId="0">
      <protection locked="1" hidden="1"/>
    </xf>
    <xf numFmtId="0" fontId="0" fillId="0" borderId="83" applyProtection="1" pivotButton="0" quotePrefix="0" xfId="0">
      <protection locked="1" hidden="1"/>
    </xf>
    <xf numFmtId="0" fontId="0" fillId="0" borderId="5" applyProtection="1" pivotButton="0" quotePrefix="0" xfId="0">
      <protection locked="1" hidden="1"/>
    </xf>
    <xf numFmtId="0" fontId="6" fillId="0" borderId="80" applyAlignment="1" applyProtection="1" pivotButton="0" quotePrefix="0" xfId="0">
      <alignment horizontal="right" vertical="center" wrapText="1"/>
      <protection locked="1" hidden="1"/>
    </xf>
    <xf numFmtId="0" fontId="0" fillId="0" borderId="8" applyProtection="1" pivotButton="0" quotePrefix="0" xfId="0">
      <protection locked="1" hidden="1"/>
    </xf>
    <xf numFmtId="165" fontId="10" fillId="0" borderId="12" applyAlignment="1" pivotButton="0" quotePrefix="0" xfId="0">
      <alignment horizontal="center" vertical="center"/>
    </xf>
    <xf numFmtId="0" fontId="0" fillId="0" borderId="48" pivotButton="0" quotePrefix="0" xfId="0"/>
    <xf numFmtId="0" fontId="0" fillId="0" borderId="79" pivotButton="0" quotePrefix="0" xfId="0"/>
    <xf numFmtId="167" fontId="9" fillId="0" borderId="0" applyAlignment="1" applyProtection="1" pivotButton="0" quotePrefix="0" xfId="1">
      <alignment vertical="top"/>
      <protection locked="1" hidden="1"/>
    </xf>
    <xf numFmtId="167" fontId="11" fillId="0" borderId="0" applyAlignment="1" applyProtection="1" pivotButton="0" quotePrefix="0" xfId="1">
      <alignment horizontal="center" vertical="top" wrapText="1"/>
      <protection locked="1" hidden="1"/>
    </xf>
    <xf numFmtId="167" fontId="9" fillId="0" borderId="0" applyProtection="1" pivotButton="0" quotePrefix="0" xfId="1">
      <protection locked="1" hidden="1"/>
    </xf>
    <xf numFmtId="167" fontId="11" fillId="10" borderId="68" applyAlignment="1" applyProtection="1" pivotButton="0" quotePrefix="0" xfId="1">
      <alignment horizontal="center" vertical="top" wrapText="1"/>
      <protection locked="1" hidden="1"/>
    </xf>
    <xf numFmtId="167" fontId="11" fillId="10" borderId="69" applyAlignment="1" applyProtection="1" pivotButton="0" quotePrefix="0" xfId="1">
      <alignment horizontal="center" vertical="top" wrapText="1"/>
      <protection locked="1" hidden="1"/>
    </xf>
    <xf numFmtId="167" fontId="11" fillId="10" borderId="4" applyAlignment="1" applyProtection="1" pivotButton="0" quotePrefix="0" xfId="1">
      <alignment vertical="top"/>
      <protection locked="1" hidden="1"/>
    </xf>
    <xf numFmtId="167" fontId="11" fillId="10" borderId="30" applyAlignment="1" applyProtection="1" pivotButton="0" quotePrefix="0" xfId="1">
      <alignment vertical="top"/>
      <protection locked="1" hidden="1"/>
    </xf>
    <xf numFmtId="167" fontId="9" fillId="0" borderId="12" applyAlignment="1" applyProtection="1" pivotButton="0" quotePrefix="0" xfId="1">
      <alignment vertical="top"/>
      <protection locked="1" hidden="1"/>
    </xf>
    <xf numFmtId="167" fontId="9" fillId="0" borderId="71" applyAlignment="1" applyProtection="1" pivotButton="0" quotePrefix="0" xfId="1">
      <alignment vertical="top"/>
      <protection locked="1" hidden="1"/>
    </xf>
    <xf numFmtId="167" fontId="11" fillId="0" borderId="12" applyAlignment="1" applyProtection="1" pivotButton="0" quotePrefix="0" xfId="1">
      <alignment vertical="top"/>
      <protection locked="1" hidden="1"/>
    </xf>
    <xf numFmtId="167" fontId="11" fillId="10" borderId="11" applyAlignment="1" applyProtection="1" pivotButton="0" quotePrefix="0" xfId="1">
      <alignment vertical="top"/>
      <protection locked="1" hidden="1"/>
    </xf>
    <xf numFmtId="167" fontId="11" fillId="10" borderId="73" applyAlignment="1" applyProtection="1" pivotButton="0" quotePrefix="0" xfId="1">
      <alignment vertical="top"/>
      <protection locked="1" hidden="1"/>
    </xf>
    <xf numFmtId="167" fontId="11" fillId="10" borderId="11" applyProtection="1" pivotButton="0" quotePrefix="0" xfId="1">
      <protection locked="1" hidden="1"/>
    </xf>
    <xf numFmtId="167" fontId="11" fillId="10" borderId="73" applyProtection="1" pivotButton="0" quotePrefix="0" xfId="1">
      <protection locked="1" hidden="1"/>
    </xf>
    <xf numFmtId="170" fontId="9" fillId="0" borderId="12" applyAlignment="1" applyProtection="1" pivotButton="0" quotePrefix="0" xfId="2">
      <alignment horizontal="center" vertical="top"/>
      <protection locked="1" hidden="1"/>
    </xf>
    <xf numFmtId="167" fontId="9" fillId="11" borderId="71" applyAlignment="1" applyProtection="1" pivotButton="0" quotePrefix="0" xfId="1">
      <alignment vertical="top"/>
      <protection locked="1" hidden="1"/>
    </xf>
    <xf numFmtId="165" fontId="9" fillId="0" borderId="12" applyAlignment="1" applyProtection="1" pivotButton="0" quotePrefix="0" xfId="2">
      <alignment horizontal="center" vertical="top"/>
      <protection locked="1" hidden="1"/>
    </xf>
    <xf numFmtId="167" fontId="9" fillId="9" borderId="12" applyAlignment="1" applyProtection="1" pivotButton="0" quotePrefix="0" xfId="1">
      <alignment vertical="top"/>
      <protection locked="0" hidden="0"/>
    </xf>
    <xf numFmtId="165" fontId="9" fillId="0" borderId="12" applyAlignment="1" applyProtection="1" pivotButton="0" quotePrefix="0" xfId="1">
      <alignment horizontal="center" vertical="top"/>
      <protection locked="1" hidden="1"/>
    </xf>
    <xf numFmtId="167" fontId="9" fillId="0" borderId="8" applyAlignment="1" applyProtection="1" pivotButton="0" quotePrefix="0" xfId="1">
      <alignment vertical="top"/>
      <protection locked="1" hidden="1"/>
    </xf>
    <xf numFmtId="167" fontId="9" fillId="0" borderId="75" applyAlignment="1" applyProtection="1" pivotButton="0" quotePrefix="0" xfId="1">
      <alignment vertical="top"/>
      <protection locked="1" hidden="1"/>
    </xf>
    <xf numFmtId="167" fontId="9" fillId="0" borderId="4" applyAlignment="1" applyProtection="1" pivotButton="0" quotePrefix="0" xfId="1">
      <alignment vertical="top"/>
      <protection locked="1" hidden="1"/>
    </xf>
    <xf numFmtId="167" fontId="9" fillId="0" borderId="30" applyAlignment="1" applyProtection="1" pivotButton="0" quotePrefix="0" xfId="1">
      <alignment vertical="top"/>
      <protection locked="1" hidden="1"/>
    </xf>
    <xf numFmtId="167" fontId="9" fillId="0" borderId="11" applyAlignment="1" applyProtection="1" pivotButton="0" quotePrefix="0" xfId="1">
      <alignment horizontal="center" vertical="top"/>
      <protection locked="1" hidden="1"/>
    </xf>
    <xf numFmtId="167" fontId="9" fillId="0" borderId="8" applyAlignment="1" applyProtection="1" pivotButton="0" quotePrefix="0" xfId="1">
      <alignment horizontal="center" vertical="top"/>
      <protection locked="1" hidden="1"/>
    </xf>
    <xf numFmtId="10" fontId="9" fillId="0" borderId="4" applyAlignment="1" applyProtection="1" pivotButton="0" quotePrefix="0" xfId="1">
      <alignment horizontal="center" vertical="top"/>
      <protection locked="1" hidden="1"/>
    </xf>
    <xf numFmtId="4" fontId="11" fillId="0" borderId="4" applyAlignment="1" applyProtection="1" pivotButton="0" quotePrefix="0" xfId="2">
      <alignment horizontal="center" vertical="top"/>
      <protection locked="1" hidden="1"/>
    </xf>
    <xf numFmtId="167" fontId="9" fillId="10" borderId="5" applyAlignment="1" applyProtection="1" pivotButton="0" quotePrefix="0" xfId="1">
      <alignment horizontal="center" vertical="center"/>
      <protection locked="1" hidden="1"/>
    </xf>
    <xf numFmtId="167" fontId="11" fillId="10" borderId="71" applyAlignment="1" applyProtection="1" pivotButton="0" quotePrefix="0" xfId="1">
      <alignment vertical="center"/>
      <protection locked="1" hidden="1"/>
    </xf>
    <xf numFmtId="10" fontId="9" fillId="0" borderId="4" applyAlignment="1" applyProtection="1" pivotButton="0" quotePrefix="0" xfId="1">
      <alignment vertical="top"/>
      <protection locked="1" hidden="1"/>
    </xf>
    <xf numFmtId="4" fontId="9" fillId="0" borderId="4" applyAlignment="1" applyProtection="1" pivotButton="0" quotePrefix="0" xfId="2">
      <alignment horizontal="center" vertical="top"/>
      <protection locked="1" hidden="1"/>
    </xf>
    <xf numFmtId="167" fontId="9" fillId="10" borderId="13" applyAlignment="1" applyProtection="1" pivotButton="0" quotePrefix="0" xfId="1">
      <alignment vertical="center"/>
      <protection locked="1" hidden="1"/>
    </xf>
    <xf numFmtId="167" fontId="9" fillId="10" borderId="78" applyAlignment="1" applyProtection="1" pivotButton="0" quotePrefix="0" xfId="1">
      <alignment vertical="center"/>
      <protection locked="1" hidden="1"/>
    </xf>
    <xf numFmtId="167" fontId="11" fillId="10" borderId="69" applyAlignment="1" applyProtection="1" pivotButton="0" quotePrefix="0" xfId="1">
      <alignment vertical="center"/>
      <protection locked="1" hidden="1"/>
    </xf>
    <xf numFmtId="0" fontId="0" fillId="0" borderId="79" applyProtection="1" pivotButton="0" quotePrefix="0" xfId="0">
      <protection locked="1" hidden="1"/>
    </xf>
    <xf numFmtId="0" fontId="0" fillId="0" borderId="48" applyProtection="1" pivotButton="0" quotePrefix="0" xfId="0">
      <protection locked="1" hidden="1"/>
    </xf>
    <xf numFmtId="0" fontId="20" fillId="0" borderId="0" applyAlignment="1" pivotButton="0" quotePrefix="0" xfId="0">
      <alignment horizontal="left" vertical="center" wrapText="1"/>
    </xf>
    <xf numFmtId="0" fontId="19" fillId="12" borderId="88" applyAlignment="1" pivotButton="0" quotePrefix="0" xfId="0">
      <alignment horizontal="center" vertical="center" wrapText="1"/>
    </xf>
    <xf numFmtId="0" fontId="0" fillId="0" borderId="88" applyAlignment="1" pivotButton="0" quotePrefix="0" xfId="0">
      <alignment horizontal="left" vertical="center" wrapText="1"/>
    </xf>
    <xf numFmtId="0" fontId="0" fillId="0" borderId="88" applyAlignment="1" pivotButton="0" quotePrefix="0" xfId="0">
      <alignment horizontal="center" vertical="center" wrapText="1"/>
    </xf>
    <xf numFmtId="4" fontId="0" fillId="0" borderId="88" applyAlignment="1" pivotButton="0" quotePrefix="0" xfId="0">
      <alignment horizontal="center" vertical="center" wrapText="1"/>
    </xf>
    <xf numFmtId="0" fontId="19" fillId="0" borderId="0" applyAlignment="1" pivotButton="0" quotePrefix="0" xfId="0">
      <alignment horizontal="left" vertical="center" wrapText="1"/>
    </xf>
    <xf numFmtId="4" fontId="19" fillId="0" borderId="0" pivotButton="0" quotePrefix="0" xfId="0"/>
    <xf numFmtId="0" fontId="2" fillId="0" borderId="80" applyAlignment="1" applyProtection="1" pivotButton="0" quotePrefix="0" xfId="0">
      <alignment horizontal="center" vertical="center" wrapText="1"/>
      <protection locked="0" hidden="0"/>
    </xf>
  </cellXfs>
  <cellStyles count="4">
    <cellStyle name="Normal" xfId="0" builtinId="0"/>
    <cellStyle name="Millares" xfId="1" builtinId="3"/>
    <cellStyle name="Porcentaje" xfId="2" builtinId="5"/>
    <cellStyle name="Hipervínculo" xfId="3" builtinId="8"/>
  </cellStyles>
  <dxfs count="11">
    <dxf>
      <font>
        <condense val="0"/>
        <color indexed="12"/>
        <extend val="0"/>
      </font>
      <fill>
        <patternFill>
          <bgColor indexed="65"/>
        </patternFill>
      </fill>
    </dxf>
    <dxf>
      <font>
        <condense val="0"/>
        <color indexed="9"/>
        <extend val="0"/>
      </font>
    </dxf>
    <dxf>
      <font>
        <condense val="0"/>
        <color indexed="9"/>
        <extend val="0"/>
      </font>
    </dxf>
    <dxf>
      <font>
        <condense val="0"/>
        <color indexed="12"/>
        <extend val="0"/>
      </font>
      <fill>
        <patternFill>
          <bgColor indexed="65"/>
        </patternFill>
      </fill>
    </dxf>
    <dxf>
      <font>
        <condense val="0"/>
        <color indexed="12"/>
        <extend val="0"/>
      </font>
      <fill>
        <patternFill>
          <bgColor indexed="65"/>
        </patternFill>
      </fill>
    </dxf>
    <dxf>
      <font>
        <condense val="0"/>
        <color indexed="9"/>
        <extend val="0"/>
      </font>
    </dxf>
    <dxf>
      <font>
        <b val="1"/>
        <condense val="0"/>
        <color indexed="12"/>
        <extend val="0"/>
      </font>
      <fill>
        <patternFill>
          <bgColor indexed="13"/>
        </patternFill>
      </fill>
    </dxf>
    <dxf>
      <font>
        <b val="1"/>
        <condense val="0"/>
        <color indexed="12"/>
        <extend val="0"/>
      </font>
      <fill>
        <patternFill>
          <bgColor indexed="13"/>
        </patternFill>
      </fill>
    </dxf>
    <dxf>
      <font>
        <condense val="0"/>
        <color indexed="8"/>
        <extend val="0"/>
      </font>
      <fill>
        <patternFill patternType="solid">
          <bgColor indexed="26"/>
        </patternFill>
      </fill>
    </dxf>
    <dxf>
      <font>
        <condense val="0"/>
        <color indexed="8"/>
        <extend val="0"/>
      </font>
      <fill>
        <patternFill patternType="solid">
          <bgColor indexed="26"/>
        </patternFill>
      </fill>
    </dxf>
    <dxf>
      <font>
        <condense val="0"/>
        <color indexed="12"/>
        <extend val="0"/>
      </font>
      <fill>
        <patternFill>
          <bgColor indexed="65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9"/>
  <sheetViews>
    <sheetView zoomScale="77" workbookViewId="0">
      <selection activeCell="A1" sqref="A1:F5"/>
    </sheetView>
  </sheetViews>
  <sheetFormatPr baseColWidth="10" defaultRowHeight="14.4"/>
  <cols>
    <col width="36.77734375" customWidth="1" min="2" max="2"/>
    <col width="15.21875" customWidth="1" min="5" max="6"/>
  </cols>
  <sheetData>
    <row r="1" ht="52.8" customHeight="1">
      <c r="A1" s="4" t="inlineStr">
        <is>
          <t>NOMBRE DE LA EMPRESA</t>
        </is>
      </c>
      <c r="B1" s="356" t="n"/>
      <c r="C1" s="357" t="n"/>
      <c r="D1" s="4" t="inlineStr">
        <is>
          <t>LOGO DE LA EMPRESA</t>
        </is>
      </c>
      <c r="E1" s="356" t="n"/>
      <c r="F1" s="357" t="n"/>
    </row>
    <row r="2" ht="34.8" customHeight="1">
      <c r="A2" s="358" t="n"/>
      <c r="B2" s="359" t="n"/>
      <c r="C2" s="360" t="n"/>
      <c r="D2" s="358" t="n"/>
      <c r="E2" s="359" t="n"/>
      <c r="F2" s="360" t="n"/>
    </row>
    <row r="3">
      <c r="A3" s="6" t="inlineStr">
        <is>
          <t xml:space="preserve">PRESUPUESTO DE OBRA </t>
        </is>
      </c>
      <c r="B3" s="361" t="n"/>
      <c r="C3" s="361" t="n"/>
      <c r="D3" s="361" t="n"/>
      <c r="E3" s="361" t="n"/>
      <c r="F3" s="362" t="n"/>
    </row>
    <row r="4">
      <c r="A4" s="7" t="inlineStr">
        <is>
          <t>Obra:</t>
        </is>
      </c>
      <c r="B4" s="8" t="inlineStr">
        <is>
          <t>ESCRIBA AQUÍ EL NOMBRE DE LA OBRA</t>
        </is>
      </c>
      <c r="C4" s="356" t="n"/>
      <c r="D4" s="357" t="n"/>
      <c r="E4" s="10" t="inlineStr">
        <is>
          <t>FECHA:</t>
        </is>
      </c>
      <c r="F4" s="11" t="n">
        <v>45919</v>
      </c>
    </row>
    <row r="5">
      <c r="A5" s="363" t="n"/>
      <c r="B5" s="358" t="n"/>
      <c r="C5" s="359" t="n"/>
      <c r="D5" s="360" t="n"/>
      <c r="E5" s="364" t="inlineStr">
        <is>
          <t>QUIEN ELABORÓ:</t>
        </is>
      </c>
      <c r="F5" s="365" t="n"/>
    </row>
    <row r="6">
      <c r="A6" s="6" t="n"/>
      <c r="B6" s="361" t="n"/>
      <c r="C6" s="361" t="n"/>
      <c r="D6" s="361" t="n"/>
      <c r="E6" s="361" t="n"/>
      <c r="F6" s="362" t="n"/>
    </row>
    <row r="7">
      <c r="A7" s="14" t="inlineStr">
        <is>
          <t>ITEM</t>
        </is>
      </c>
      <c r="B7" s="14" t="inlineStr">
        <is>
          <t>DESCRIPCION</t>
        </is>
      </c>
      <c r="C7" s="14" t="inlineStr">
        <is>
          <t>UND</t>
        </is>
      </c>
      <c r="D7" s="14" t="inlineStr">
        <is>
          <t>CANT.</t>
        </is>
      </c>
      <c r="E7" s="15" t="inlineStr">
        <is>
          <t>VR. UNIT</t>
        </is>
      </c>
      <c r="F7" s="16" t="inlineStr">
        <is>
          <t>VR.TOTAL</t>
        </is>
      </c>
    </row>
    <row r="8" ht="18" customHeight="1">
      <c r="A8" s="366" t="inlineStr">
        <is>
          <t>CAP 1  1</t>
        </is>
      </c>
      <c r="B8" s="367" t="n"/>
      <c r="C8" s="366" t="n"/>
      <c r="D8" s="366" t="n"/>
      <c r="E8" s="366" t="n"/>
      <c r="F8" s="366" t="n"/>
    </row>
    <row r="9" ht="18" customHeight="1">
      <c r="A9" s="368" t="inlineStr">
        <is>
          <t>1.1</t>
        </is>
      </c>
      <c r="B9" s="368" t="inlineStr">
        <is>
          <t>VALVULA CHAPALETA Q=4.10L/SEG S=1.5M 10"</t>
        </is>
      </c>
      <c r="C9" s="368" t="inlineStr">
        <is>
          <t>UND</t>
        </is>
      </c>
      <c r="D9" s="368" t="n">
        <v>1</v>
      </c>
      <c r="E9" s="368" t="n">
        <v>2240072</v>
      </c>
      <c r="F9" s="368" t="n">
        <v>2240072</v>
      </c>
    </row>
    <row r="10" ht="18" customHeight="1">
      <c r="A10" s="368" t="inlineStr">
        <is>
          <t>1.2</t>
        </is>
      </c>
      <c r="B10" s="368" t="inlineStr">
        <is>
          <t>VALVULA CHAPALETA Q=4.10L/SEG S=1.5M 12"</t>
        </is>
      </c>
      <c r="C10" s="368" t="inlineStr">
        <is>
          <t>UND</t>
        </is>
      </c>
      <c r="D10" s="368" t="n">
        <v>1</v>
      </c>
      <c r="E10" s="368" t="n">
        <v>2213161</v>
      </c>
      <c r="F10" s="368" t="n">
        <v>2213161</v>
      </c>
    </row>
    <row r="11" ht="18" customHeight="1">
      <c r="A11" s="369" t="n"/>
      <c r="B11" s="370" t="inlineStr">
        <is>
          <t xml:space="preserve">SUBTOTAL CAP 1  1: </t>
        </is>
      </c>
      <c r="C11" s="369" t="n"/>
      <c r="D11" s="369" t="n"/>
      <c r="E11" s="369" t="n"/>
      <c r="F11" s="371" t="n">
        <v>4453233</v>
      </c>
    </row>
    <row r="12" ht="18" customHeight="1">
      <c r="B12" s="69" t="inlineStr">
        <is>
          <t>COSTOS INDIRECTOS</t>
        </is>
      </c>
      <c r="C12" s="70" t="n"/>
      <c r="D12" s="71" t="n"/>
      <c r="E12" s="372" t="n">
        <v>0.6332608223695482</v>
      </c>
      <c r="F12" s="373" t="n">
        <v>121549942.7659072</v>
      </c>
    </row>
    <row r="13" ht="18" customHeight="1">
      <c r="A13" s="366" t="inlineStr">
        <is>
          <t>CAP 2  2</t>
        </is>
      </c>
      <c r="B13" s="367" t="n"/>
      <c r="C13" s="366" t="n"/>
      <c r="D13" s="366" t="n"/>
      <c r="E13" s="366" t="n"/>
      <c r="F13" s="366" t="n"/>
    </row>
    <row r="14" ht="18" customHeight="1">
      <c r="A14" s="368" t="inlineStr">
        <is>
          <t>2.1</t>
        </is>
      </c>
      <c r="B14" s="368" t="inlineStr">
        <is>
          <t>MOTOR ELEC 100HP 3600 RPM BOMBA</t>
        </is>
      </c>
      <c r="C14" s="368" t="inlineStr">
        <is>
          <t>UND</t>
        </is>
      </c>
      <c r="D14" s="368" t="n">
        <v>1</v>
      </c>
      <c r="E14" s="368" t="n">
        <v>11167041</v>
      </c>
      <c r="F14" s="368" t="n">
        <v>11167041</v>
      </c>
    </row>
    <row r="15" ht="18" customHeight="1">
      <c r="A15" s="368" t="inlineStr">
        <is>
          <t>2.2</t>
        </is>
      </c>
      <c r="B15" s="368" t="inlineStr">
        <is>
          <t>MOTOR ELEC 150HP 3600 RPM BOMBA</t>
        </is>
      </c>
      <c r="C15" s="368" t="inlineStr">
        <is>
          <t>UND</t>
        </is>
      </c>
      <c r="D15" s="368" t="n">
        <v>1</v>
      </c>
      <c r="E15" s="368" t="n">
        <v>17441501</v>
      </c>
      <c r="F15" s="368" t="n">
        <v>17441501</v>
      </c>
    </row>
    <row r="16" ht="18" customHeight="1">
      <c r="A16" s="368" t="inlineStr">
        <is>
          <t>2.3</t>
        </is>
      </c>
      <c r="B16" s="368" t="inlineStr">
        <is>
          <t>MOTOR ELEC 30HP 3600 RPM BOMBA</t>
        </is>
      </c>
      <c r="C16" s="368" t="inlineStr">
        <is>
          <t>UND</t>
        </is>
      </c>
      <c r="D16" s="368" t="n">
        <v>1</v>
      </c>
      <c r="E16" s="368" t="n">
        <v>3943064</v>
      </c>
      <c r="F16" s="368" t="n">
        <v>3943064</v>
      </c>
    </row>
    <row r="17" ht="18" customHeight="1">
      <c r="A17" s="368" t="inlineStr">
        <is>
          <t>2.4</t>
        </is>
      </c>
      <c r="B17" s="368" t="inlineStr">
        <is>
          <t>BOMBA SUMERG3.0 HP LAPICERO 4" A.INOX</t>
        </is>
      </c>
      <c r="C17" s="368" t="inlineStr">
        <is>
          <t>UND</t>
        </is>
      </c>
      <c r="D17" s="368" t="n">
        <v>1</v>
      </c>
      <c r="E17" s="368" t="n">
        <v>4802037</v>
      </c>
      <c r="F17" s="368" t="n">
        <v>4802037</v>
      </c>
    </row>
    <row r="18" ht="18" customHeight="1">
      <c r="A18" s="368" t="inlineStr">
        <is>
          <t>2.5</t>
        </is>
      </c>
      <c r="B18" s="368" t="inlineStr">
        <is>
          <t>BOMBA SUMERG 15 HP LAPICERO 6" A.INOX</t>
        </is>
      </c>
      <c r="C18" s="368" t="inlineStr">
        <is>
          <t>UND</t>
        </is>
      </c>
      <c r="D18" s="368" t="n">
        <v>1</v>
      </c>
      <c r="E18" s="368" t="n">
        <v>11351511</v>
      </c>
      <c r="F18" s="368" t="n">
        <v>11351511</v>
      </c>
    </row>
    <row r="19" ht="18" customHeight="1" thickBot="1">
      <c r="A19" s="369" t="n"/>
      <c r="B19" s="370" t="inlineStr">
        <is>
          <t xml:space="preserve">SUBTOTAL CAP 2  2: </t>
        </is>
      </c>
      <c r="C19" s="369" t="n"/>
      <c r="D19" s="369" t="n"/>
      <c r="E19" s="369" t="n"/>
      <c r="F19" s="371" t="n">
        <v>48705154</v>
      </c>
    </row>
    <row r="20" ht="15" customHeight="1" thickBot="1">
      <c r="B20" s="78" t="n"/>
      <c r="C20" s="79" t="n"/>
      <c r="D20" s="79" t="n"/>
      <c r="E20" s="80" t="n"/>
      <c r="F20" s="81" t="n"/>
    </row>
    <row r="21" ht="18" customHeight="1">
      <c r="A21" s="366" t="inlineStr">
        <is>
          <t>CAP 3  3</t>
        </is>
      </c>
      <c r="B21" s="367" t="n"/>
      <c r="C21" s="366" t="n"/>
      <c r="D21" s="366" t="n"/>
      <c r="E21" s="366" t="n"/>
      <c r="F21" s="366" t="n"/>
    </row>
    <row r="22" ht="18" customHeight="1">
      <c r="A22" s="368" t="inlineStr">
        <is>
          <t>3.1</t>
        </is>
      </c>
      <c r="B22" s="368" t="inlineStr">
        <is>
          <t>BOMBA SUMERG 25HP LAPICERO 6" A.INOX</t>
        </is>
      </c>
      <c r="C22" s="368" t="inlineStr">
        <is>
          <t>UND</t>
        </is>
      </c>
      <c r="D22" s="368" t="n">
        <v>1</v>
      </c>
      <c r="E22" s="368" t="n">
        <v>16426248</v>
      </c>
      <c r="F22" s="368" t="n">
        <v>16426248</v>
      </c>
    </row>
    <row r="23" ht="18" customHeight="1">
      <c r="A23" s="368" t="inlineStr">
        <is>
          <t>3.2</t>
        </is>
      </c>
      <c r="B23" s="368" t="inlineStr">
        <is>
          <t>BOMBA SUMERG 30HP LAPICERO 6" A.INOX</t>
        </is>
      </c>
      <c r="C23" s="368" t="inlineStr">
        <is>
          <t>UND</t>
        </is>
      </c>
      <c r="D23" s="368" t="n">
        <v>1</v>
      </c>
      <c r="E23" s="368" t="n">
        <v>23701720</v>
      </c>
      <c r="F23" s="368" t="n">
        <v>23701720</v>
      </c>
    </row>
    <row r="24" ht="18" customHeight="1">
      <c r="A24" s="368" t="inlineStr">
        <is>
          <t>3.3</t>
        </is>
      </c>
      <c r="B24" s="368" t="inlineStr">
        <is>
          <t>BOMBA SUMERG 40HP LAPICERO 6" A.INOX</t>
        </is>
      </c>
      <c r="C24" s="368" t="inlineStr">
        <is>
          <t>UND</t>
        </is>
      </c>
      <c r="D24" s="368" t="n">
        <v>1</v>
      </c>
      <c r="E24" s="368" t="n">
        <v>26255148</v>
      </c>
      <c r="F24" s="368" t="n">
        <v>26255148</v>
      </c>
    </row>
    <row r="25" ht="18" customHeight="1">
      <c r="A25" s="368" t="inlineStr">
        <is>
          <t>3.4</t>
        </is>
      </c>
      <c r="B25" s="368" t="inlineStr">
        <is>
          <t>BOMBA SUMERG 50HP LAPICERO 6" A.INOX</t>
        </is>
      </c>
      <c r="C25" s="368" t="inlineStr">
        <is>
          <t>UND</t>
        </is>
      </c>
      <c r="D25" s="368" t="n">
        <v>1</v>
      </c>
      <c r="E25" s="368" t="n">
        <v>30578425</v>
      </c>
      <c r="F25" s="368" t="n">
        <v>30578425</v>
      </c>
    </row>
    <row r="26" ht="18" customHeight="1">
      <c r="A26" s="368" t="inlineStr">
        <is>
          <t>3.5</t>
        </is>
      </c>
      <c r="B26" s="368" t="inlineStr">
        <is>
          <t>BOMBA SUMERG 60HP LAPICERO 6" A.INOX</t>
        </is>
      </c>
      <c r="C26" s="368" t="inlineStr">
        <is>
          <t>UND</t>
        </is>
      </c>
      <c r="D26" s="368" t="n">
        <v>1</v>
      </c>
      <c r="E26" s="368" t="n">
        <v>37957205</v>
      </c>
      <c r="F26" s="368" t="n">
        <v>37957205</v>
      </c>
    </row>
    <row r="27" ht="18" customHeight="1">
      <c r="A27" s="368" t="inlineStr">
        <is>
          <t>3.6</t>
        </is>
      </c>
      <c r="B27" s="368" t="inlineStr">
        <is>
          <t>BOMBA SUMERG1.0 HP LAPICERO 4" BRONCE</t>
        </is>
      </c>
      <c r="C27" s="368" t="inlineStr">
        <is>
          <t>UND</t>
        </is>
      </c>
      <c r="D27" s="368" t="n">
        <v>1</v>
      </c>
      <c r="E27" s="368" t="n">
        <v>2758377</v>
      </c>
      <c r="F27" s="368" t="n">
        <v>2758377</v>
      </c>
    </row>
    <row r="28" ht="18" customHeight="1">
      <c r="A28" s="368" t="inlineStr">
        <is>
          <t>3.7</t>
        </is>
      </c>
      <c r="B28" s="368" t="inlineStr">
        <is>
          <t>ARRANCADOR VOL-C10 230 40-50AMP</t>
        </is>
      </c>
      <c r="C28" s="368" t="inlineStr">
        <is>
          <t>UND</t>
        </is>
      </c>
      <c r="D28" s="368" t="n">
        <v>1</v>
      </c>
      <c r="E28" s="368" t="n">
        <v>1107428</v>
      </c>
      <c r="F28" s="368" t="n">
        <v>1107428</v>
      </c>
    </row>
    <row r="29" ht="18" customHeight="1" thickBot="1">
      <c r="A29" s="369" t="n"/>
      <c r="B29" s="370" t="inlineStr">
        <is>
          <t xml:space="preserve">SUBTOTAL CAP 3  3: </t>
        </is>
      </c>
      <c r="C29" s="369" t="n"/>
      <c r="D29" s="369" t="n"/>
      <c r="E29" s="369" t="n"/>
      <c r="F29" s="371" t="n">
        <v>138784551</v>
      </c>
    </row>
    <row r="30" ht="18" customHeight="1">
      <c r="B30" s="82" t="n"/>
      <c r="C30" s="83" t="n"/>
      <c r="D30" s="84" t="inlineStr">
        <is>
          <t>ADMINISTRACION</t>
        </is>
      </c>
      <c r="E30" s="85" t="n">
        <v>0.5237608223695481</v>
      </c>
      <c r="F30" s="374" t="n">
        <v>100532191.0549072</v>
      </c>
    </row>
    <row r="31">
      <c r="B31" s="87" t="n"/>
      <c r="C31" s="88" t="n"/>
      <c r="D31" s="89" t="n"/>
      <c r="E31" s="90" t="inlineStr">
        <is>
          <t>VALOR COSTOS DIRECTOS</t>
        </is>
      </c>
      <c r="F31" s="91">
        <f>+F31</f>
        <v/>
      </c>
    </row>
    <row r="32" ht="18" customHeight="1">
      <c r="B32" s="87" t="n"/>
      <c r="C32" s="88" t="n"/>
      <c r="D32" s="89" t="inlineStr">
        <is>
          <t>UTILIDAD</t>
        </is>
      </c>
      <c r="E32" s="90" t="n">
        <v>0.05</v>
      </c>
      <c r="F32" s="375" t="n">
        <v>9597146.9</v>
      </c>
    </row>
    <row r="33" ht="18" customHeight="1">
      <c r="B33" s="74" t="n"/>
      <c r="C33" s="75" t="n"/>
      <c r="D33" s="76" t="inlineStr">
        <is>
          <t>TOTAL AIU</t>
        </is>
      </c>
      <c r="E33" s="376" t="n">
        <v>0.6237608223695482</v>
      </c>
      <c r="F33" s="377" t="n">
        <v>119726484.8549072</v>
      </c>
    </row>
    <row r="34" ht="18" customHeight="1">
      <c r="B34" s="74" t="n"/>
      <c r="C34" s="75" t="n"/>
      <c r="D34" s="94" t="inlineStr">
        <is>
          <t>IVA SOBRE LA UTILIDAD</t>
        </is>
      </c>
      <c r="E34" s="95" t="n">
        <v>0.19</v>
      </c>
      <c r="F34" s="378" t="n">
        <v>1823457.911</v>
      </c>
    </row>
    <row r="35">
      <c r="B35" s="96" t="n"/>
      <c r="C35" s="97" t="n"/>
      <c r="D35" s="97" t="n"/>
      <c r="E35" s="98" t="inlineStr">
        <is>
          <t>VALOR TOTAL PRESUPUESTO</t>
        </is>
      </c>
      <c r="F35" s="379">
        <f>F31+F33+F34</f>
        <v/>
      </c>
    </row>
    <row r="36"/>
    <row r="37">
      <c r="B37" s="380" t="inlineStr">
        <is>
          <t>VALOR  TOTAL PRESUPUESTO:</t>
        </is>
      </c>
      <c r="C37" s="381" t="n"/>
      <c r="D37" s="381" t="n"/>
      <c r="E37" s="381" t="n"/>
      <c r="F37" s="382" t="n"/>
    </row>
    <row r="38">
      <c r="B38" s="383" t="inlineStr">
        <is>
          <t>TRESCIENTOS TRECE MILLONES CUATROCIENTOS NOVENTA Y DOS MIL OCHOCIENTOS OCHENTA Y UN</t>
        </is>
      </c>
      <c r="C38" s="384" t="n"/>
      <c r="D38" s="384" t="n"/>
      <c r="E38" s="384" t="n"/>
      <c r="F38" s="385" t="n"/>
    </row>
    <row r="39">
      <c r="B39" s="386" t="n"/>
      <c r="C39" s="387" t="n"/>
      <c r="D39" s="387" t="n"/>
      <c r="E39" s="387" t="n"/>
      <c r="F39" s="388" t="n"/>
    </row>
    <row r="40"/>
    <row r="41">
      <c r="C41" s="389" t="inlineStr">
        <is>
          <t>PLAZO DE ENTREGA: (DIAS CALENDARIO)</t>
        </is>
      </c>
      <c r="D41" s="390" t="n"/>
      <c r="E41" s="385" t="n"/>
      <c r="F41" s="391" t="n">
        <v>90</v>
      </c>
    </row>
    <row r="42">
      <c r="C42" s="386" t="n"/>
      <c r="D42" s="387" t="n"/>
      <c r="E42" s="388" t="n"/>
      <c r="F42" s="392" t="n"/>
    </row>
    <row r="43"/>
    <row r="44"/>
    <row r="45"/>
    <row r="46">
      <c r="B46" s="6" t="n"/>
    </row>
    <row r="47">
      <c r="B47" s="393" t="n"/>
    </row>
    <row r="48">
      <c r="B48" s="392" t="n"/>
    </row>
    <row r="49">
      <c r="B49" s="2" t="inlineStr">
        <is>
          <t>FIRMA DEL REPRESENTANTE LEGAL</t>
        </is>
      </c>
    </row>
  </sheetData>
  <mergeCells count="18">
    <mergeCell ref="C46:E47"/>
    <mergeCell ref="B43:F44"/>
    <mergeCell ref="A13:F13"/>
    <mergeCell ref="B51:B53"/>
    <mergeCell ref="A1:C2"/>
    <mergeCell ref="A4:A5"/>
    <mergeCell ref="B42:F42"/>
    <mergeCell ref="A8:F8"/>
    <mergeCell ref="B4:D5"/>
    <mergeCell ref="A6:F6"/>
    <mergeCell ref="E5:F5"/>
    <mergeCell ref="F46:F47"/>
    <mergeCell ref="B11:E11"/>
    <mergeCell ref="B19:E19"/>
    <mergeCell ref="B29:E29"/>
    <mergeCell ref="A3:F3"/>
    <mergeCell ref="A21:F21"/>
    <mergeCell ref="D1:F2"/>
  </mergeCells>
  <conditionalFormatting sqref="A4">
    <cfRule type="cellIs" priority="14" operator="equal" dxfId="0" stopIfTrue="1">
      <formula>"ESCRIBA AQUÍ EL NOMBRE DE LA OBRA"</formula>
    </cfRule>
  </conditionalFormatting>
  <conditionalFormatting sqref="A9:B9">
    <cfRule type="cellIs" priority="13" operator="equal" dxfId="8">
      <formula>"ESCRIBA AQUÍ EL NOMBRE DEL CAPITULO"</formula>
    </cfRule>
  </conditionalFormatting>
  <conditionalFormatting sqref="A21:B21">
    <cfRule type="cellIs" priority="12" operator="equal" dxfId="8">
      <formula>"ESCRIBA AQUÍ EL NOMBRE DEL CAPITULO"</formula>
    </cfRule>
  </conditionalFormatting>
  <conditionalFormatting sqref="F40">
    <cfRule type="expression" priority="10" dxfId="6" stopIfTrue="1">
      <formula>"&gt;G29"</formula>
    </cfRule>
    <cfRule type="expression" priority="11" dxfId="6" stopIfTrue="1">
      <formula>"&lt;G29"""</formula>
    </cfRule>
  </conditionalFormatting>
  <conditionalFormatting sqref="F46:F47">
    <cfRule type="cellIs" priority="1" operator="equal" dxfId="1" stopIfTrue="1">
      <formula>1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1"/>
  <sheetViews>
    <sheetView tabSelected="1" workbookViewId="0">
      <selection activeCell="D10" sqref="D10"/>
    </sheetView>
  </sheetViews>
  <sheetFormatPr baseColWidth="10" defaultRowHeight="14.4"/>
  <cols>
    <col width="48.109375" bestFit="1" customWidth="1" min="1" max="1"/>
    <col width="14.6640625" customWidth="1" min="2" max="2"/>
    <col width="13" bestFit="1" customWidth="1" min="5" max="5"/>
    <col width="13" bestFit="1" customWidth="1" min="7" max="7"/>
  </cols>
  <sheetData>
    <row r="1">
      <c r="A1" s="4" t="inlineStr">
        <is>
          <t>NOMBRE DE LA EMPRESA</t>
        </is>
      </c>
      <c r="B1" s="356" t="n"/>
      <c r="C1" s="357" t="n"/>
      <c r="D1" s="4" t="inlineStr">
        <is>
          <t>LOGO DE LA EMPRESA</t>
        </is>
      </c>
      <c r="E1" s="356" t="n"/>
      <c r="F1" s="357" t="n"/>
    </row>
    <row r="2">
      <c r="A2" s="358" t="n"/>
      <c r="B2" s="359" t="n"/>
      <c r="C2" s="360" t="n"/>
      <c r="D2" s="358" t="n"/>
      <c r="E2" s="359" t="n"/>
      <c r="F2" s="360" t="n"/>
    </row>
    <row r="3">
      <c r="A3" s="6" t="inlineStr">
        <is>
          <t>DISCRIMINACIÓN DEL AIU</t>
        </is>
      </c>
      <c r="B3" s="361" t="n"/>
      <c r="C3" s="361" t="n"/>
      <c r="D3" s="361" t="n"/>
      <c r="E3" s="361" t="n"/>
      <c r="F3" s="362" t="n"/>
    </row>
    <row r="4">
      <c r="A4" s="7" t="inlineStr">
        <is>
          <t>Obra:</t>
        </is>
      </c>
      <c r="B4" s="8" t="inlineStr">
        <is>
          <t>ESCRIBA AQUÍ EL NOMBRE DE LA OBRA</t>
        </is>
      </c>
      <c r="C4" s="356" t="n"/>
      <c r="D4" s="357" t="n"/>
      <c r="E4" s="10" t="inlineStr">
        <is>
          <t>FECHA:</t>
        </is>
      </c>
      <c r="F4" s="11" t="n">
        <v>45919</v>
      </c>
    </row>
    <row r="5">
      <c r="A5" s="363" t="n"/>
      <c r="B5" s="358" t="n"/>
      <c r="C5" s="359" t="n"/>
      <c r="D5" s="360" t="n"/>
      <c r="E5" s="364" t="inlineStr">
        <is>
          <t>QUIEN ELABORÓ:</t>
        </is>
      </c>
      <c r="F5" s="365" t="n"/>
    </row>
    <row r="6"/>
    <row r="7">
      <c r="A7" s="226" t="inlineStr">
        <is>
          <t>VALOR COSTO DIRECTO</t>
        </is>
      </c>
      <c r="B7" s="227" t="n">
        <v>1458192270</v>
      </c>
      <c r="C7" s="228" t="n"/>
      <c r="D7" s="229" t="n"/>
      <c r="E7" s="394" t="n"/>
      <c r="F7" s="231" t="n">
        <v>191942938</v>
      </c>
      <c r="G7" s="238" t="n"/>
    </row>
    <row r="8">
      <c r="A8" s="226" t="inlineStr">
        <is>
          <t>VALOR COSTO TOTAL</t>
        </is>
      </c>
      <c r="B8" s="227" t="n">
        <v>2078069804</v>
      </c>
      <c r="C8" s="228" t="n"/>
      <c r="D8" s="229" t="n"/>
      <c r="E8" s="395" t="n"/>
      <c r="F8" s="231" t="n">
        <v>313492880.7659072</v>
      </c>
      <c r="G8" s="234" t="n"/>
    </row>
    <row r="9">
      <c r="A9" s="226" t="inlineStr">
        <is>
          <t>DURACION OBRA EN MESES</t>
        </is>
      </c>
      <c r="B9" s="235" t="n">
        <v>6.069999999999999</v>
      </c>
      <c r="C9" s="236" t="n"/>
      <c r="D9" s="237" t="n"/>
      <c r="E9" s="395" t="n"/>
      <c r="F9" s="231" t="inlineStr">
        <is>
          <t>DIFERENCIA:</t>
        </is>
      </c>
      <c r="G9" s="238" t="n"/>
    </row>
    <row r="10">
      <c r="A10" s="226" t="inlineStr">
        <is>
          <t>% ANTICIPO A SOLICITAR</t>
        </is>
      </c>
      <c r="B10" s="239" t="n">
        <v>0.4</v>
      </c>
      <c r="C10" s="240" t="n"/>
      <c r="D10" s="241" t="n"/>
      <c r="E10" s="395" t="n"/>
      <c r="F10" s="175" t="n"/>
      <c r="G10" s="396" t="n"/>
    </row>
    <row r="11">
      <c r="A11" s="243" t="n"/>
      <c r="B11" s="241" t="n"/>
      <c r="C11" s="241" t="n"/>
      <c r="D11" s="241" t="n"/>
      <c r="E11" s="395" t="n"/>
      <c r="F11" s="175" t="n"/>
      <c r="G11" s="396" t="n"/>
    </row>
    <row r="12" ht="15" customHeight="1" thickBot="1">
      <c r="A12" s="244" t="n"/>
      <c r="B12" s="245" t="n"/>
      <c r="C12" s="245" t="n"/>
      <c r="D12" s="245" t="n"/>
      <c r="E12" s="394" t="n"/>
      <c r="F12" s="247" t="n"/>
      <c r="G12" s="394" t="n"/>
    </row>
    <row r="13" ht="24.6" customHeight="1" thickBot="1">
      <c r="A13" s="248" t="inlineStr">
        <is>
          <t>COSTOS ADMINISTRATIVOS</t>
        </is>
      </c>
      <c r="B13" s="249" t="inlineStr">
        <is>
          <t>VALOR MENSUAL</t>
        </is>
      </c>
      <c r="C13" s="250" t="inlineStr">
        <is>
          <t>%OCUP</t>
        </is>
      </c>
      <c r="D13" s="251" t="inlineStr">
        <is>
          <t>Meses Dedic.</t>
        </is>
      </c>
      <c r="E13" s="397" t="inlineStr">
        <is>
          <t>VALOR PARCIAL</t>
        </is>
      </c>
      <c r="F13" s="253" t="inlineStr">
        <is>
          <t>% S/Costos Directos</t>
        </is>
      </c>
      <c r="G13" s="398" t="inlineStr">
        <is>
          <t>VALOR EN PESOS</t>
        </is>
      </c>
    </row>
    <row r="14">
      <c r="A14" s="255" t="inlineStr">
        <is>
          <t>PERSONAL TECNICO Y ADM: (Incl. Prest. Soc.)</t>
        </is>
      </c>
      <c r="B14" s="256" t="n">
        <v>12616000</v>
      </c>
      <c r="C14" s="256" t="n"/>
      <c r="D14" s="256" t="n"/>
      <c r="E14" s="399" t="n">
        <v>24031737</v>
      </c>
      <c r="F14" s="258" t="n">
        <v>0.0166</v>
      </c>
      <c r="G14" s="400" t="n">
        <v>24031737</v>
      </c>
    </row>
    <row r="15">
      <c r="A15" s="260" t="inlineStr">
        <is>
          <t>DIRECTOR DE OBRA ING CIVIL</t>
        </is>
      </c>
      <c r="B15" s="267" t="n">
        <v>3320000</v>
      </c>
      <c r="C15" s="262" t="n">
        <v>0.2</v>
      </c>
      <c r="D15" s="263" t="n">
        <v>6.069999999999999</v>
      </c>
      <c r="E15" s="401" t="n">
        <v>4030480</v>
      </c>
      <c r="F15" s="265" t="n">
        <v>0.0028</v>
      </c>
      <c r="G15" s="402" t="n">
        <v>4030480</v>
      </c>
    </row>
    <row r="16">
      <c r="A16" s="260" t="inlineStr">
        <is>
          <t>RESIDENTE ING CIVIL</t>
        </is>
      </c>
      <c r="B16" s="267" t="n">
        <v>2158000</v>
      </c>
      <c r="C16" s="262" t="n">
        <v>0.8</v>
      </c>
      <c r="D16" s="263" t="n">
        <v>6.069999999999999</v>
      </c>
      <c r="E16" s="401" t="n">
        <v>10479248</v>
      </c>
      <c r="F16" s="265" t="n">
        <v>0.0072</v>
      </c>
      <c r="G16" s="402" t="n">
        <v>10479248</v>
      </c>
    </row>
    <row r="17">
      <c r="A17" s="260" t="inlineStr">
        <is>
          <t>TECNICIO O TEGNOLOGO</t>
        </is>
      </c>
      <c r="B17" s="267" t="n">
        <v>1660000</v>
      </c>
      <c r="C17" s="262" t="n">
        <v>0.5</v>
      </c>
      <c r="D17" s="263" t="n">
        <v>6.069999999999999</v>
      </c>
      <c r="E17" s="401" t="n">
        <v>5038099.999999999</v>
      </c>
      <c r="F17" s="265" t="n">
        <v>0.0035</v>
      </c>
      <c r="G17" s="402" t="n">
        <v>5038099.999999999</v>
      </c>
    </row>
    <row r="18">
      <c r="A18" s="260" t="inlineStr">
        <is>
          <t>ASESOR ING ELECTRISISTA</t>
        </is>
      </c>
      <c r="B18" s="267" t="n">
        <v>1826000</v>
      </c>
      <c r="C18" s="262" t="n">
        <v>0.05</v>
      </c>
      <c r="D18" s="263" t="n">
        <v>6.069999999999999</v>
      </c>
      <c r="E18" s="401" t="n">
        <v>554191</v>
      </c>
      <c r="F18" s="265" t="n">
        <v>0.0004</v>
      </c>
      <c r="G18" s="402" t="n">
        <v>554191</v>
      </c>
    </row>
    <row r="19">
      <c r="A19" s="260" t="inlineStr">
        <is>
          <t>ASESOR ING SANITARIO</t>
        </is>
      </c>
      <c r="B19" s="267" t="n">
        <v>1328000</v>
      </c>
      <c r="C19" s="262" t="n">
        <v>0.05</v>
      </c>
      <c r="D19" s="263" t="n">
        <v>6.069999999999999</v>
      </c>
      <c r="E19" s="401" t="n">
        <v>403047.9999999999</v>
      </c>
      <c r="F19" s="265" t="n">
        <v>0.0003</v>
      </c>
      <c r="G19" s="402" t="n">
        <v>403047.9999999999</v>
      </c>
    </row>
    <row r="20">
      <c r="A20" s="260" t="inlineStr">
        <is>
          <t>COORDINADOR DE SEGURIDAD Y SALUD EN EL TRABA</t>
        </is>
      </c>
      <c r="B20" s="267" t="n">
        <v>1162000</v>
      </c>
      <c r="C20" s="262" t="n">
        <v>0.5</v>
      </c>
      <c r="D20" s="263" t="n">
        <v>6.069999999999999</v>
      </c>
      <c r="E20" s="401" t="n">
        <v>3526670</v>
      </c>
      <c r="F20" s="265" t="n">
        <v>0.0024</v>
      </c>
      <c r="G20" s="402" t="n">
        <v>3526670</v>
      </c>
    </row>
    <row r="21">
      <c r="A21" s="260" t="n"/>
      <c r="B21" s="267" t="n"/>
      <c r="C21" s="267" t="n"/>
      <c r="D21" s="267" t="n"/>
      <c r="E21" s="403" t="n"/>
      <c r="F21" s="265" t="n"/>
      <c r="G21" s="402" t="n"/>
    </row>
    <row r="22">
      <c r="A22" s="269" t="inlineStr">
        <is>
          <t>OFICINA, PAPELERIA Y OTROS:</t>
        </is>
      </c>
      <c r="B22" s="270" t="n">
        <v>400000</v>
      </c>
      <c r="C22" s="271" t="inlineStr">
        <is>
          <t>%Utiliz.</t>
        </is>
      </c>
      <c r="D22" s="271" t="inlineStr">
        <is>
          <t>Meses</t>
        </is>
      </c>
      <c r="E22" s="404" t="n">
        <v>464199.9999999999</v>
      </c>
      <c r="F22" s="273" t="n">
        <v>0.0003</v>
      </c>
      <c r="G22" s="405" t="n">
        <v>464199.9999999999</v>
      </c>
    </row>
    <row r="23">
      <c r="A23" s="260" t="inlineStr">
        <is>
          <t>COSTO OFICINA</t>
        </is>
      </c>
      <c r="B23" s="275" t="n">
        <v>300000</v>
      </c>
      <c r="C23" s="262" t="n">
        <v>0.2</v>
      </c>
      <c r="D23" s="276" t="n">
        <v>6.069999999999999</v>
      </c>
      <c r="E23" s="401" t="n">
        <v>364199.9999999999</v>
      </c>
      <c r="F23" s="265" t="n">
        <v>0.0002</v>
      </c>
      <c r="G23" s="402" t="n">
        <v>364199.9999999999</v>
      </c>
    </row>
    <row r="24">
      <c r="A24" s="260" t="inlineStr">
        <is>
          <t>COSTO PAPELERIA, FOTOCOPIAS, ETC.</t>
        </is>
      </c>
      <c r="B24" s="275" t="n">
        <v>100000</v>
      </c>
      <c r="C24" s="279" t="n"/>
      <c r="D24" s="267" t="n"/>
      <c r="E24" s="401" t="n">
        <v>100000</v>
      </c>
      <c r="F24" s="265" t="n">
        <v>0.0001</v>
      </c>
      <c r="G24" s="402" t="n">
        <v>100000</v>
      </c>
    </row>
    <row r="25">
      <c r="A25" s="260" t="inlineStr">
        <is>
          <t>OTROS</t>
        </is>
      </c>
      <c r="B25" s="275" t="n"/>
      <c r="C25" s="279" t="n"/>
      <c r="D25" s="267" t="n"/>
      <c r="E25" s="401" t="n">
        <v>0</v>
      </c>
      <c r="F25" s="265" t="n">
        <v>0</v>
      </c>
      <c r="G25" s="402" t="n">
        <v>0</v>
      </c>
    </row>
    <row r="26">
      <c r="A26" s="260" t="n"/>
      <c r="B26" s="267" t="n"/>
      <c r="C26" s="278" t="n"/>
      <c r="D26" s="279" t="n"/>
      <c r="E26" s="401" t="n"/>
      <c r="F26" s="265" t="n"/>
      <c r="G26" s="402" t="n"/>
    </row>
    <row r="27" ht="24" customHeight="1">
      <c r="A27" s="280" t="inlineStr">
        <is>
          <t>LEGALIZACION DEL CONTRATO (Pólizas):</t>
        </is>
      </c>
      <c r="B27" s="281" t="inlineStr">
        <is>
          <t>%     Requerido</t>
        </is>
      </c>
      <c r="C27" s="281" t="inlineStr">
        <is>
          <t>Durac+ (Meses)</t>
        </is>
      </c>
      <c r="D27" s="281" t="inlineStr">
        <is>
          <t>% prima</t>
        </is>
      </c>
      <c r="E27" s="406" t="n">
        <v>71054401.77327</v>
      </c>
      <c r="F27" s="283" t="n">
        <v>0.0487</v>
      </c>
      <c r="G27" s="407" t="n">
        <v>71054401.77327</v>
      </c>
    </row>
    <row r="28">
      <c r="A28" s="260" t="inlineStr">
        <is>
          <t>POLIZA DE CUMPLIMIENTO</t>
        </is>
      </c>
      <c r="B28" s="285" t="n">
        <v>0.2</v>
      </c>
      <c r="C28" s="286" t="n">
        <v>10.07</v>
      </c>
      <c r="D28" s="287" t="n">
        <v>0.005</v>
      </c>
      <c r="E28" s="401" t="n">
        <v>2795003.886380001</v>
      </c>
      <c r="F28" s="408" t="n">
        <v>0.0019</v>
      </c>
      <c r="G28" s="402" t="n">
        <v>2795003.886380001</v>
      </c>
    </row>
    <row r="29">
      <c r="A29" s="260" t="inlineStr">
        <is>
          <t>POLIZA DE MANEJO DE ANTICIPO</t>
        </is>
      </c>
      <c r="B29" s="285" t="n">
        <v>1</v>
      </c>
      <c r="C29" s="286" t="n">
        <v>10.07</v>
      </c>
      <c r="D29" s="287" t="n">
        <v>0.005</v>
      </c>
      <c r="E29" s="401" t="n">
        <v>5590007.772760002</v>
      </c>
      <c r="F29" s="408" t="n">
        <v>0.0038</v>
      </c>
      <c r="G29" s="402" t="n">
        <v>5590007.772760002</v>
      </c>
    </row>
    <row r="30">
      <c r="A30" s="260" t="inlineStr">
        <is>
          <t>POLIZA DE R. CIVIL EXTRACONTRACTUAL</t>
        </is>
      </c>
      <c r="B30" s="285" t="n">
        <v>0.3</v>
      </c>
      <c r="C30" s="286" t="n">
        <v>30.07</v>
      </c>
      <c r="D30" s="287" t="n">
        <v>0.005</v>
      </c>
      <c r="E30" s="401" t="n">
        <v>9387680.339569999</v>
      </c>
      <c r="F30" s="408" t="n">
        <v>0.0064</v>
      </c>
      <c r="G30" s="402" t="n">
        <v>9387680.339569999</v>
      </c>
    </row>
    <row r="31">
      <c r="A31" s="260" t="inlineStr">
        <is>
          <t>POLIZA DE ESTABILIDAD (Duración en Años)</t>
        </is>
      </c>
      <c r="B31" s="285" t="n">
        <v>0.2</v>
      </c>
      <c r="C31" s="286" t="n">
        <v>5</v>
      </c>
      <c r="D31" s="287" t="n">
        <v>0.005</v>
      </c>
      <c r="E31" s="401" t="n">
        <v>10390349.02</v>
      </c>
      <c r="F31" s="408" t="n">
        <v>0.0071</v>
      </c>
      <c r="G31" s="402" t="n">
        <v>10390349.02</v>
      </c>
    </row>
    <row r="32">
      <c r="A32" s="260" t="inlineStr">
        <is>
          <t xml:space="preserve">CALIDAD DEL SERVICIO </t>
        </is>
      </c>
      <c r="B32" s="285" t="n">
        <v>0.2</v>
      </c>
      <c r="C32" s="286" t="n">
        <v>10.07</v>
      </c>
      <c r="D32" s="287" t="n">
        <v>0.005</v>
      </c>
      <c r="E32" s="401" t="n">
        <v>20926162.92628</v>
      </c>
      <c r="F32" s="408" t="n">
        <v>0.0144</v>
      </c>
      <c r="G32" s="402" t="n">
        <v>20926162.92628</v>
      </c>
    </row>
    <row r="33">
      <c r="A33" s="260" t="inlineStr">
        <is>
          <t xml:space="preserve">CALIDAD Y CORRECTO FUNCIONAMIENTO DE LOS BIENES </t>
        </is>
      </c>
      <c r="B33" s="285" t="n">
        <v>0.2</v>
      </c>
      <c r="C33" s="286" t="n">
        <v>10.07</v>
      </c>
      <c r="D33" s="287" t="n">
        <v>0.005</v>
      </c>
      <c r="E33" s="401" t="n">
        <v>20926162.92628</v>
      </c>
      <c r="F33" s="408" t="n">
        <v>0.0144</v>
      </c>
      <c r="G33" s="402" t="n">
        <v>20926162.92628</v>
      </c>
    </row>
    <row r="34">
      <c r="A34" s="260" t="inlineStr">
        <is>
          <t xml:space="preserve">POLIZA DE SALARIOS Y P. SOCIALES </t>
        </is>
      </c>
      <c r="B34" s="285" t="n">
        <v>0.05</v>
      </c>
      <c r="C34" s="305" t="n"/>
      <c r="D34" s="287" t="n">
        <v>0.01</v>
      </c>
      <c r="E34" s="401" t="n">
        <v>1039034.902</v>
      </c>
      <c r="F34" s="408" t="n">
        <v>0.0007</v>
      </c>
      <c r="G34" s="402" t="n">
        <v>1039034.902</v>
      </c>
    </row>
    <row r="35">
      <c r="A35" s="290" t="n"/>
      <c r="B35" s="291" t="n"/>
      <c r="C35" s="292" t="n"/>
      <c r="D35" s="293" t="n"/>
      <c r="E35" s="294" t="n"/>
      <c r="F35" s="295" t="n"/>
      <c r="G35" s="409" t="n"/>
    </row>
    <row r="36">
      <c r="A36" s="297" t="inlineStr">
        <is>
          <t>LEGALIZACION DEL CONTRATO (Otros):</t>
        </is>
      </c>
      <c r="B36" s="298" t="n"/>
      <c r="C36" s="299" t="n"/>
      <c r="D36" s="300" t="n"/>
      <c r="E36" s="406" t="n">
        <v>31171047.06</v>
      </c>
      <c r="F36" s="283" t="n">
        <v>0.0214</v>
      </c>
      <c r="G36" s="407" t="n">
        <v>31171047.06</v>
      </c>
    </row>
    <row r="37">
      <c r="A37" s="260" t="inlineStr">
        <is>
          <t>IMPUESTO DE TIMBRE</t>
        </is>
      </c>
      <c r="B37" s="301" t="n">
        <v>0.015</v>
      </c>
      <c r="C37" s="410" t="n">
        <v>2078069804</v>
      </c>
      <c r="D37" s="382" t="n"/>
      <c r="E37" s="401" t="n">
        <v>31171047.06</v>
      </c>
      <c r="F37" s="265" t="n">
        <v>0.0214</v>
      </c>
      <c r="G37" s="402" t="n">
        <v>31171047.06</v>
      </c>
    </row>
    <row r="38">
      <c r="A38" s="260" t="inlineStr">
        <is>
          <t>PUBLICACION</t>
        </is>
      </c>
      <c r="B38" s="411" t="n"/>
      <c r="C38" s="305" t="n"/>
      <c r="D38" s="306" t="n"/>
      <c r="E38" s="307" t="n">
        <v>0</v>
      </c>
      <c r="F38" s="265" t="n">
        <v>0</v>
      </c>
      <c r="G38" s="402" t="n">
        <v>0</v>
      </c>
    </row>
    <row r="39">
      <c r="A39" s="260" t="n"/>
      <c r="B39" s="267" t="n"/>
      <c r="C39" s="308" t="n"/>
      <c r="D39" s="309" t="n"/>
      <c r="E39" s="401" t="n"/>
      <c r="F39" s="265" t="n"/>
      <c r="G39" s="402" t="n"/>
    </row>
    <row r="40">
      <c r="A40" s="269" t="inlineStr">
        <is>
          <t>DESCUENTOS SOBRE EL CONTRATO:</t>
        </is>
      </c>
      <c r="B40" s="311" t="inlineStr">
        <is>
          <t>%</t>
        </is>
      </c>
      <c r="C40" s="311" t="inlineStr">
        <is>
          <t>Vr. Ttl Contrato</t>
        </is>
      </c>
      <c r="D40" s="382" t="n"/>
      <c r="E40" s="404" t="n">
        <v>374052564.72</v>
      </c>
      <c r="F40" s="273" t="n">
        <v>0.2567</v>
      </c>
      <c r="G40" s="405" t="n">
        <v>374052564.72</v>
      </c>
    </row>
    <row r="41">
      <c r="A41" s="203" t="inlineStr">
        <is>
          <t>Estampilla pro Desarrollo</t>
        </is>
      </c>
      <c r="B41" s="262" t="n">
        <v>0.035</v>
      </c>
      <c r="C41" s="410" t="n">
        <v>2078069804</v>
      </c>
      <c r="D41" s="382" t="n"/>
      <c r="E41" s="401" t="n">
        <v>72732443.14</v>
      </c>
      <c r="F41" s="265" t="n">
        <v>0.0499</v>
      </c>
      <c r="G41" s="402" t="n">
        <v>72732443.14</v>
      </c>
    </row>
    <row r="42">
      <c r="A42" s="203" t="inlineStr">
        <is>
          <t>Estampilla pro Univalle</t>
        </is>
      </c>
      <c r="B42" s="262" t="n">
        <v>0.01</v>
      </c>
      <c r="C42" s="410" t="n">
        <v>2078069804</v>
      </c>
      <c r="D42" s="382" t="n"/>
      <c r="E42" s="401" t="n">
        <v>20780698.04</v>
      </c>
      <c r="F42" s="265" t="n">
        <v>0.0143</v>
      </c>
      <c r="G42" s="402" t="n">
        <v>20780698.04</v>
      </c>
    </row>
    <row r="43">
      <c r="A43" s="203" t="inlineStr">
        <is>
          <t>Estampilla pro Hospital</t>
        </is>
      </c>
      <c r="B43" s="262" t="n">
        <v>0.01</v>
      </c>
      <c r="C43" s="410" t="n">
        <v>2078069804</v>
      </c>
      <c r="D43" s="382" t="n"/>
      <c r="E43" s="401" t="n">
        <v>20780698.04</v>
      </c>
      <c r="F43" s="265" t="n">
        <v>0.0143</v>
      </c>
      <c r="G43" s="402" t="n">
        <v>20780698.04</v>
      </c>
    </row>
    <row r="44">
      <c r="A44" s="203" t="inlineStr">
        <is>
          <t>Estampilla pro Cultura</t>
        </is>
      </c>
      <c r="B44" s="262" t="n">
        <v>0.01</v>
      </c>
      <c r="C44" s="410" t="n">
        <v>2078069804</v>
      </c>
      <c r="D44" s="382" t="n"/>
      <c r="E44" s="401" t="n">
        <v>20780698.04</v>
      </c>
      <c r="F44" s="265" t="n">
        <v>0.0143</v>
      </c>
      <c r="G44" s="402" t="n">
        <v>20780698.04</v>
      </c>
    </row>
    <row r="45">
      <c r="A45" s="203" t="inlineStr">
        <is>
          <t>Estampilla pro Pacifico</t>
        </is>
      </c>
      <c r="B45" s="262" t="n">
        <v>0.005</v>
      </c>
      <c r="C45" s="410" t="n">
        <v>2078069804</v>
      </c>
      <c r="D45" s="382" t="n"/>
      <c r="E45" s="401" t="n">
        <v>10390349.02</v>
      </c>
      <c r="F45" s="265" t="n">
        <v>0.0071</v>
      </c>
      <c r="G45" s="402" t="n">
        <v>10390349.02</v>
      </c>
    </row>
    <row r="46">
      <c r="A46" s="203" t="inlineStr">
        <is>
          <t>Estampilla pro Deporte</t>
        </is>
      </c>
      <c r="B46" s="262" t="n">
        <v>0.02</v>
      </c>
      <c r="C46" s="410" t="n">
        <v>2078069804</v>
      </c>
      <c r="D46" s="382" t="n"/>
      <c r="E46" s="401" t="n">
        <v>41561396.08</v>
      </c>
      <c r="F46" s="265" t="n">
        <v>0.0285</v>
      </c>
      <c r="G46" s="402" t="n">
        <v>41561396.08</v>
      </c>
    </row>
    <row r="47">
      <c r="A47" s="203" t="inlineStr">
        <is>
          <t>Estampilla pro Adulto Mayor</t>
        </is>
      </c>
      <c r="B47" s="262" t="n">
        <v>0.02</v>
      </c>
      <c r="C47" s="410" t="n">
        <v>2078069804</v>
      </c>
      <c r="D47" s="382" t="n"/>
      <c r="E47" s="401" t="n">
        <v>41561396.08</v>
      </c>
      <c r="F47" s="265" t="n">
        <v>0.0285</v>
      </c>
      <c r="G47" s="402" t="n">
        <v>41561396.08</v>
      </c>
    </row>
    <row r="48">
      <c r="A48" s="203" t="inlineStr">
        <is>
          <t>Estampilla Familiar</t>
        </is>
      </c>
      <c r="B48" s="262" t="n">
        <v>0.02</v>
      </c>
      <c r="C48" s="410" t="n">
        <v>2078069804</v>
      </c>
      <c r="D48" s="382" t="n"/>
      <c r="E48" s="401" t="n">
        <v>41561396.08</v>
      </c>
      <c r="F48" s="265" t="n">
        <v>0.0285</v>
      </c>
      <c r="G48" s="402" t="n">
        <v>41561396.08</v>
      </c>
    </row>
    <row r="49">
      <c r="A49" s="314" t="inlineStr">
        <is>
          <t>CONTRIBUCION ESPECIAL</t>
        </is>
      </c>
      <c r="B49" s="262" t="n">
        <v>0.05</v>
      </c>
      <c r="C49" s="410" t="n">
        <v>2078069804</v>
      </c>
      <c r="D49" s="382" t="n"/>
      <c r="E49" s="401" t="n">
        <v>103903490.2</v>
      </c>
      <c r="F49" s="265" t="n">
        <v>0.0713</v>
      </c>
      <c r="G49" s="402" t="n">
        <v>103903490.2</v>
      </c>
    </row>
    <row r="50">
      <c r="A50" s="260" t="n"/>
      <c r="B50" s="267" t="n"/>
      <c r="C50" s="412" t="n"/>
      <c r="D50" s="382" t="n"/>
      <c r="E50" s="401" t="n"/>
      <c r="F50" s="265" t="n"/>
      <c r="G50" s="402" t="n"/>
    </row>
    <row r="51">
      <c r="A51" s="317" t="n"/>
      <c r="B51" s="318" t="n"/>
      <c r="C51" s="318" t="n"/>
      <c r="D51" s="318" t="n"/>
      <c r="E51" s="413" t="n"/>
      <c r="F51" s="320" t="n"/>
      <c r="G51" s="414" t="n"/>
    </row>
    <row r="52">
      <c r="A52" s="322" t="n"/>
      <c r="B52" s="323" t="n"/>
      <c r="C52" s="323" t="n"/>
      <c r="D52" s="323" t="n"/>
      <c r="E52" s="415" t="n"/>
      <c r="F52" s="325" t="n"/>
      <c r="G52" s="416" t="n"/>
    </row>
    <row r="53">
      <c r="A53" s="327" t="inlineStr">
        <is>
          <t>TOTAL COSTOS ADMINISTRATIVOS  (SUMA)</t>
        </is>
      </c>
      <c r="B53" s="328" t="n"/>
      <c r="C53" s="328" t="n"/>
      <c r="D53" s="328" t="n"/>
      <c r="E53" s="417" t="n"/>
      <c r="F53" s="330" t="n"/>
      <c r="G53" s="402" t="n">
        <v>500773950.55327</v>
      </c>
    </row>
    <row r="54">
      <c r="A54" s="317" t="n"/>
      <c r="B54" s="318" t="n"/>
      <c r="C54" s="318" t="n"/>
      <c r="D54" s="318" t="n"/>
      <c r="E54" s="418" t="n"/>
      <c r="F54" s="332" t="n"/>
      <c r="G54" s="414" t="n"/>
    </row>
    <row r="55">
      <c r="A55" s="333" t="inlineStr">
        <is>
          <t>ADMINISTRACION:</t>
        </is>
      </c>
      <c r="B55" s="323" t="n"/>
      <c r="C55" s="323" t="n"/>
      <c r="D55" s="323" t="n"/>
      <c r="E55" s="419" t="n">
        <v>0.5237608223695481</v>
      </c>
      <c r="F55" s="420" t="n">
        <v>100532191.0549072</v>
      </c>
      <c r="G55" s="416" t="n"/>
    </row>
    <row r="56">
      <c r="A56" s="336" t="inlineStr">
        <is>
          <t>TOTAL COSTOS ADMINISTRATIVOS</t>
        </is>
      </c>
      <c r="B56" s="337" t="n"/>
      <c r="C56" s="338" t="n"/>
      <c r="D56" s="352" t="n"/>
      <c r="E56" s="421" t="n"/>
      <c r="F56" s="341" t="n">
        <v>0.3437</v>
      </c>
      <c r="G56" s="422" t="n">
        <v>501180683</v>
      </c>
    </row>
    <row r="57">
      <c r="A57" s="317" t="n"/>
      <c r="B57" s="318" t="n"/>
      <c r="C57" s="318" t="n"/>
      <c r="D57" s="318" t="n"/>
      <c r="E57" s="413" t="n"/>
      <c r="F57" s="343" t="n"/>
      <c r="G57" s="414" t="n"/>
    </row>
    <row r="58">
      <c r="A58" s="333" t="inlineStr">
        <is>
          <t>IMPREVISTOS:</t>
        </is>
      </c>
      <c r="B58" s="323" t="n"/>
      <c r="C58" s="323" t="n"/>
      <c r="D58" s="323" t="n"/>
      <c r="E58" s="423" t="n">
        <v>0.05</v>
      </c>
      <c r="F58" s="424" t="n">
        <v>9597146.9</v>
      </c>
      <c r="G58" s="416" t="n"/>
    </row>
    <row r="59">
      <c r="A59" s="336" t="inlineStr">
        <is>
          <t>RESERVA DEL PROPONENTE PARA IMPREVISTOS</t>
        </is>
      </c>
      <c r="B59" s="344" t="n"/>
      <c r="C59" s="344" t="n"/>
      <c r="D59" s="344" t="n"/>
      <c r="E59" s="425" t="n"/>
      <c r="F59" s="346" t="n">
        <v>0.01</v>
      </c>
      <c r="G59" s="422" t="n">
        <v>14581922.7</v>
      </c>
    </row>
    <row r="60">
      <c r="A60" s="317" t="n"/>
      <c r="B60" s="318" t="n"/>
      <c r="C60" s="318" t="n"/>
      <c r="D60" s="318" t="n"/>
      <c r="E60" s="413" t="n"/>
      <c r="F60" s="343" t="n"/>
      <c r="G60" s="414" t="n"/>
    </row>
    <row r="61">
      <c r="A61" s="333" t="inlineStr">
        <is>
          <t>UTILIDAD:</t>
        </is>
      </c>
      <c r="B61" s="323" t="n"/>
      <c r="C61" s="323" t="n"/>
      <c r="D61" s="323" t="n"/>
      <c r="E61" s="423" t="n">
        <v>0.05</v>
      </c>
      <c r="F61" s="424" t="n">
        <v>9597146.9</v>
      </c>
      <c r="G61" s="416" t="n"/>
    </row>
    <row r="62">
      <c r="A62" s="336" t="inlineStr">
        <is>
          <t>UTILIDAD ESTIMADA POR EL PROPONENTE</t>
        </is>
      </c>
      <c r="B62" s="344" t="n"/>
      <c r="C62" s="344" t="n"/>
      <c r="D62" s="344" t="n"/>
      <c r="E62" s="425" t="n"/>
      <c r="F62" s="346" t="n">
        <v>0.06</v>
      </c>
      <c r="G62" s="422" t="n">
        <v>87491536.2</v>
      </c>
    </row>
    <row r="63" ht="15" customHeight="1" thickBot="1">
      <c r="A63" s="317" t="n"/>
      <c r="B63" s="318" t="n"/>
      <c r="C63" s="318" t="n"/>
      <c r="D63" s="318" t="n"/>
      <c r="E63" s="413" t="n"/>
      <c r="F63" s="343" t="n"/>
      <c r="G63" s="414" t="n"/>
    </row>
    <row r="64" ht="15" customHeight="1" thickBot="1">
      <c r="A64" s="347" t="inlineStr">
        <is>
          <t>COSTO TOTAL DEL AIU</t>
        </is>
      </c>
      <c r="B64" s="348" t="n"/>
      <c r="C64" s="348" t="n"/>
      <c r="D64" s="348" t="n"/>
      <c r="E64" s="426" t="n"/>
      <c r="F64" s="350" t="n">
        <v>0.4137</v>
      </c>
      <c r="G64" s="427" t="n">
        <v>603254142</v>
      </c>
    </row>
    <row r="65">
      <c r="A65" s="244" t="n"/>
      <c r="B65" s="245" t="n"/>
      <c r="C65" s="245" t="n"/>
      <c r="D65" s="245" t="n"/>
      <c r="E65" s="394" t="n"/>
      <c r="F65" s="247" t="n"/>
      <c r="G65" s="394" t="n"/>
    </row>
    <row r="66">
      <c r="A66" s="244" t="n"/>
      <c r="B66" s="245" t="n"/>
      <c r="C66" s="245" t="n"/>
      <c r="D66" s="245" t="n"/>
      <c r="E66" s="394" t="n"/>
      <c r="F66" s="247" t="n"/>
      <c r="G66" s="394" t="n"/>
    </row>
    <row r="67">
      <c r="A67" s="355" t="n"/>
      <c r="B67" s="245" t="n"/>
      <c r="C67" s="245" t="n"/>
      <c r="D67" s="245" t="n"/>
      <c r="E67" s="394" t="n"/>
      <c r="F67" s="247" t="n"/>
      <c r="G67" s="394" t="n"/>
    </row>
    <row r="68">
      <c r="A68" s="428" t="n"/>
      <c r="B68" s="245" t="n"/>
      <c r="C68" s="245" t="n"/>
      <c r="D68" s="245" t="n"/>
      <c r="E68" s="394" t="n"/>
      <c r="F68" s="247" t="n"/>
      <c r="G68" s="394" t="n"/>
    </row>
    <row r="69">
      <c r="A69" s="429" t="n"/>
      <c r="B69" s="245" t="n"/>
      <c r="C69" s="245" t="n"/>
      <c r="D69" s="245" t="n"/>
      <c r="E69" s="394" t="n"/>
      <c r="F69" s="247" t="n"/>
      <c r="G69" s="394" t="n"/>
    </row>
    <row r="70">
      <c r="A70" s="352" t="inlineStr">
        <is>
          <t>FIRMA DEL REPRESENTANTE LEGAL</t>
        </is>
      </c>
      <c r="B70" s="245" t="n"/>
      <c r="C70" s="245" t="n"/>
      <c r="D70" s="245" t="n"/>
      <c r="E70" s="394" t="n"/>
      <c r="F70" s="247" t="n"/>
      <c r="G70" s="394" t="n"/>
    </row>
    <row r="71">
      <c r="A71" s="353" t="n"/>
      <c r="B71" s="354" t="n"/>
      <c r="C71" s="354" t="n"/>
      <c r="D71" s="354" t="n"/>
      <c r="E71" s="396" t="n"/>
      <c r="F71" s="175" t="n"/>
      <c r="G71" s="396" t="n"/>
    </row>
  </sheetData>
  <mergeCells count="20">
    <mergeCell ref="C42:D42"/>
    <mergeCell ref="B4:D5"/>
    <mergeCell ref="E5:F5"/>
    <mergeCell ref="C45:D45"/>
    <mergeCell ref="A3:F3"/>
    <mergeCell ref="D1:F2"/>
    <mergeCell ref="A67:A69"/>
    <mergeCell ref="C47:D47"/>
    <mergeCell ref="A1:C2"/>
    <mergeCell ref="C41:D41"/>
    <mergeCell ref="C50:D50"/>
    <mergeCell ref="C44:D44"/>
    <mergeCell ref="C40:D40"/>
    <mergeCell ref="C56:D56"/>
    <mergeCell ref="C43:D43"/>
    <mergeCell ref="C46:D46"/>
    <mergeCell ref="A4:A5"/>
    <mergeCell ref="C48:D48"/>
    <mergeCell ref="C37:D37"/>
    <mergeCell ref="C49:D49"/>
  </mergeCells>
  <conditionalFormatting sqref="B8 C7:D9">
    <cfRule type="cellIs" priority="2" operator="lessThan" dxfId="1" stopIfTrue="1">
      <formula>1</formula>
    </cfRule>
  </conditionalFormatting>
  <conditionalFormatting sqref="F9">
    <cfRule type="expression" priority="3" dxfId="1" stopIfTrue="1">
      <formula>$H$11=0</formula>
    </cfRule>
  </conditionalFormatting>
  <conditionalFormatting sqref="A4">
    <cfRule type="cellIs" priority="1" operator="equal" dxfId="0" stopIfTrue="1">
      <formula>"ESCRIBA AQUÍ EL NOMBRE DE LA OBRA"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12"/>
  <sheetViews>
    <sheetView zoomScale="72" workbookViewId="0">
      <selection activeCell="A1" sqref="A1:F5"/>
    </sheetView>
  </sheetViews>
  <sheetFormatPr baseColWidth="10" defaultRowHeight="14.4"/>
  <cols>
    <col width="16" customWidth="1" min="1" max="1"/>
    <col width="60" customWidth="1" min="2" max="2"/>
    <col width="10" customWidth="1" min="3" max="3"/>
    <col width="12" customWidth="1" min="4" max="4"/>
    <col width="14" customWidth="1" min="5" max="5"/>
    <col width="16" customWidth="1" min="6" max="6"/>
  </cols>
  <sheetData>
    <row r="1">
      <c r="A1" s="4" t="inlineStr">
        <is>
          <t>NOMBRE DE LA EMPRESA</t>
        </is>
      </c>
      <c r="B1" s="356" t="n"/>
      <c r="C1" s="357" t="n"/>
      <c r="D1" s="4" t="inlineStr">
        <is>
          <t>LOGO DE LA EMPRESA</t>
        </is>
      </c>
      <c r="E1" s="356" t="n"/>
      <c r="F1" s="357" t="n"/>
    </row>
    <row r="2" ht="49.2" customHeight="1">
      <c r="A2" s="430" t="inlineStr">
        <is>
          <t>02-06-04 - VALVULA CHAPALETA Q=4.10L/SEG S=1.5M 10"</t>
        </is>
      </c>
      <c r="B2" s="430" t="n"/>
      <c r="C2" s="430" t="n"/>
      <c r="D2" s="430" t="n"/>
      <c r="E2" s="430" t="n"/>
      <c r="F2" s="430" t="n"/>
    </row>
    <row r="3">
      <c r="A3" s="431" t="inlineStr">
        <is>
          <t>CÓDIGO</t>
        </is>
      </c>
      <c r="B3" s="431" t="inlineStr">
        <is>
          <t>DESCRIPCIÓN</t>
        </is>
      </c>
      <c r="C3" s="431" t="inlineStr">
        <is>
          <t>UND</t>
        </is>
      </c>
      <c r="D3" s="431" t="inlineStr">
        <is>
          <t>CANT.</t>
        </is>
      </c>
      <c r="E3" s="431" t="inlineStr">
        <is>
          <t>VR. UNIT</t>
        </is>
      </c>
      <c r="F3" s="431" t="inlineStr">
        <is>
          <t>VR. TOTAL</t>
        </is>
      </c>
    </row>
    <row r="4">
      <c r="A4" s="432" t="inlineStr">
        <is>
          <t>000507</t>
        </is>
      </c>
      <c r="B4" s="432" t="inlineStr">
        <is>
          <t>"VAL CHAPAL Q=4.1LT/S D10"</t>
        </is>
      </c>
      <c r="C4" s="433" t="inlineStr">
        <is>
          <t>UND</t>
        </is>
      </c>
      <c r="D4" s="434" t="n">
        <v>1</v>
      </c>
      <c r="E4" s="434" t="n">
        <v>2217920</v>
      </c>
      <c r="F4" s="434" t="n">
        <v>2217920</v>
      </c>
    </row>
    <row r="5">
      <c r="A5" s="432" t="inlineStr">
        <is>
          <t>MOAG02</t>
        </is>
      </c>
      <c r="B5" s="432" t="inlineStr">
        <is>
          <t>MANO OBRA ALBANILERIA2 AYUDANTE</t>
        </is>
      </c>
      <c r="C5" s="433" t="inlineStr">
        <is>
          <t>HC</t>
        </is>
      </c>
      <c r="D5" s="434" t="n">
        <v>0.5</v>
      </c>
      <c r="E5" s="434" t="n">
        <v>17897</v>
      </c>
      <c r="F5" s="434" t="n">
        <v>8948.5</v>
      </c>
    </row>
    <row r="6">
      <c r="A6" s="432" t="inlineStr">
        <is>
          <t>MOIS01</t>
        </is>
      </c>
      <c r="B6" s="432" t="inlineStr">
        <is>
          <t>MANO OBRA HIDROSANIT.1 AYUDANTE-1 OFI</t>
        </is>
      </c>
      <c r="C6" s="433" t="inlineStr">
        <is>
          <t>HC</t>
        </is>
      </c>
      <c r="D6" s="434" t="n">
        <v>0.52</v>
      </c>
      <c r="E6" s="434" t="n">
        <v>25391</v>
      </c>
      <c r="F6" s="434" t="n">
        <v>13203.32</v>
      </c>
    </row>
    <row r="7">
      <c r="A7" s="435" t="inlineStr">
        <is>
          <t>SUBTOTAL 02-06-04:</t>
        </is>
      </c>
      <c r="F7" s="436" t="n">
        <v>2240071.82</v>
      </c>
    </row>
    <row r="9">
      <c r="A9" s="430" t="inlineStr">
        <is>
          <t>02-06-05 - VALVULA CHAPALETA Q=4.10L/SEG S=1.5M 12"</t>
        </is>
      </c>
      <c r="B9" s="430" t="n"/>
      <c r="C9" s="430" t="n"/>
      <c r="D9" s="430" t="n"/>
      <c r="E9" s="430" t="n"/>
      <c r="F9" s="430" t="n"/>
    </row>
    <row r="10">
      <c r="A10" s="431" t="inlineStr">
        <is>
          <t>CÓDIGO</t>
        </is>
      </c>
      <c r="B10" s="431" t="inlineStr">
        <is>
          <t>DESCRIPCIÓN</t>
        </is>
      </c>
      <c r="C10" s="431" t="inlineStr">
        <is>
          <t>UND</t>
        </is>
      </c>
      <c r="D10" s="431" t="inlineStr">
        <is>
          <t>CANT.</t>
        </is>
      </c>
      <c r="E10" s="431" t="inlineStr">
        <is>
          <t>VR. UNIT</t>
        </is>
      </c>
      <c r="F10" s="431" t="inlineStr">
        <is>
          <t>VR. TOTAL</t>
        </is>
      </c>
    </row>
    <row r="11">
      <c r="A11" s="432" t="inlineStr">
        <is>
          <t>000508</t>
        </is>
      </c>
      <c r="B11" s="432" t="inlineStr">
        <is>
          <t>"VAL CHAPALETA Q4.1LT D12"</t>
        </is>
      </c>
      <c r="C11" s="433" t="inlineStr">
        <is>
          <t>UND</t>
        </is>
      </c>
      <c r="D11" s="434" t="n">
        <v>1</v>
      </c>
      <c r="E11" s="434" t="n">
        <v>2188487</v>
      </c>
      <c r="F11" s="434" t="n">
        <v>2188487</v>
      </c>
    </row>
    <row r="12">
      <c r="A12" s="432" t="inlineStr">
        <is>
          <t>MOAG02</t>
        </is>
      </c>
      <c r="B12" s="432" t="inlineStr">
        <is>
          <t>MANO OBRA ALBANILERIA2 AYUDANTE</t>
        </is>
      </c>
      <c r="C12" s="433" t="inlineStr">
        <is>
          <t>HC</t>
        </is>
      </c>
      <c r="D12" s="434" t="n">
        <v>0.57</v>
      </c>
      <c r="E12" s="434" t="n">
        <v>17897</v>
      </c>
      <c r="F12" s="434" t="n">
        <v>10201.29</v>
      </c>
    </row>
    <row r="13">
      <c r="A13" s="432" t="inlineStr">
        <is>
          <t>MOIS01</t>
        </is>
      </c>
      <c r="B13" s="432" t="inlineStr">
        <is>
          <t>MANO OBRA HIDROSANIT.1 AYUDANTE-1 OFI</t>
        </is>
      </c>
      <c r="C13" s="433" t="inlineStr">
        <is>
          <t>HC</t>
        </is>
      </c>
      <c r="D13" s="434" t="n">
        <v>0.57</v>
      </c>
      <c r="E13" s="434" t="n">
        <v>25391</v>
      </c>
      <c r="F13" s="434" t="n">
        <v>14472.87</v>
      </c>
    </row>
    <row r="14">
      <c r="A14" s="435" t="inlineStr">
        <is>
          <t>SUBTOTAL 02-06-05:</t>
        </is>
      </c>
      <c r="F14" s="436" t="n">
        <v>2213161.16</v>
      </c>
    </row>
    <row r="16">
      <c r="A16" s="430" t="inlineStr">
        <is>
          <t>03-01-08 - MOTOR ELEC 100HP 3600 RPM BOMBA</t>
        </is>
      </c>
      <c r="B16" s="430" t="n"/>
      <c r="C16" s="430" t="n"/>
      <c r="D16" s="430" t="n"/>
      <c r="E16" s="430" t="n"/>
      <c r="F16" s="430" t="n"/>
    </row>
    <row r="17">
      <c r="A17" s="431" t="inlineStr">
        <is>
          <t>CÓDIGO</t>
        </is>
      </c>
      <c r="B17" s="431" t="inlineStr">
        <is>
          <t>DESCRIPCIÓN</t>
        </is>
      </c>
      <c r="C17" s="431" t="inlineStr">
        <is>
          <t>UND</t>
        </is>
      </c>
      <c r="D17" s="431" t="inlineStr">
        <is>
          <t>CANT.</t>
        </is>
      </c>
      <c r="E17" s="431" t="inlineStr">
        <is>
          <t>VR. UNIT</t>
        </is>
      </c>
      <c r="F17" s="431" t="inlineStr">
        <is>
          <t>VR. TOTAL</t>
        </is>
      </c>
    </row>
    <row r="18">
      <c r="A18" s="432" t="inlineStr">
        <is>
          <t>004887</t>
        </is>
      </c>
      <c r="B18" s="432" t="inlineStr">
        <is>
          <t>MOTOR EL.100HP 3600RPM BOM</t>
        </is>
      </c>
      <c r="C18" s="433" t="inlineStr">
        <is>
          <t>UND</t>
        </is>
      </c>
      <c r="D18" s="434" t="n">
        <v>1</v>
      </c>
      <c r="E18" s="434" t="n">
        <v>11024350</v>
      </c>
      <c r="F18" s="434" t="n">
        <v>11024350</v>
      </c>
    </row>
    <row r="19">
      <c r="A19" s="432" t="inlineStr">
        <is>
          <t>MOIS01</t>
        </is>
      </c>
      <c r="B19" s="432" t="inlineStr">
        <is>
          <t>MANO OBRA HIDROSANIT.1 AYUDANTE-1 OFI</t>
        </is>
      </c>
      <c r="C19" s="433" t="inlineStr">
        <is>
          <t>HC</t>
        </is>
      </c>
      <c r="D19" s="434" t="n">
        <v>5.5</v>
      </c>
      <c r="E19" s="434" t="n">
        <v>25391</v>
      </c>
      <c r="F19" s="434" t="n">
        <v>139650.5</v>
      </c>
    </row>
    <row r="20">
      <c r="A20" s="432" t="inlineStr">
        <is>
          <t>MQ0301</t>
        </is>
      </c>
      <c r="B20" s="432" t="inlineStr">
        <is>
          <t>HERRAMIENTA MENOR</t>
        </is>
      </c>
      <c r="C20" s="433" t="inlineStr">
        <is>
          <t>GLB</t>
        </is>
      </c>
      <c r="D20" s="434" t="n">
        <v>1.9</v>
      </c>
      <c r="E20" s="434" t="n">
        <v>1600</v>
      </c>
      <c r="F20" s="434" t="n">
        <v>3040</v>
      </c>
    </row>
    <row r="21">
      <c r="A21" s="435" t="inlineStr">
        <is>
          <t>SUBTOTAL 03-01-08:</t>
        </is>
      </c>
      <c r="F21" s="436" t="n">
        <v>11167040.5</v>
      </c>
    </row>
    <row r="23">
      <c r="A23" s="430" t="inlineStr">
        <is>
          <t>03-01-09 - MOTOR ELEC 150HP 3600 RPM BOMBA</t>
        </is>
      </c>
      <c r="B23" s="430" t="n"/>
      <c r="C23" s="430" t="n"/>
      <c r="D23" s="430" t="n"/>
      <c r="E23" s="430" t="n"/>
      <c r="F23" s="430" t="n"/>
    </row>
    <row r="24">
      <c r="A24" s="431" t="inlineStr">
        <is>
          <t>CÓDIGO</t>
        </is>
      </c>
      <c r="B24" s="431" t="inlineStr">
        <is>
          <t>DESCRIPCIÓN</t>
        </is>
      </c>
      <c r="C24" s="431" t="inlineStr">
        <is>
          <t>UND</t>
        </is>
      </c>
      <c r="D24" s="431" t="inlineStr">
        <is>
          <t>CANT.</t>
        </is>
      </c>
      <c r="E24" s="431" t="inlineStr">
        <is>
          <t>VR. UNIT</t>
        </is>
      </c>
      <c r="F24" s="431" t="inlineStr">
        <is>
          <t>VR. TOTAL</t>
        </is>
      </c>
    </row>
    <row r="25">
      <c r="A25" s="432" t="inlineStr">
        <is>
          <t>004890</t>
        </is>
      </c>
      <c r="B25" s="432" t="inlineStr">
        <is>
          <t>MOTOR EL.BOMB 150HP</t>
        </is>
      </c>
      <c r="C25" s="433" t="inlineStr">
        <is>
          <t>UND</t>
        </is>
      </c>
      <c r="D25" s="434" t="n">
        <v>1</v>
      </c>
      <c r="E25" s="434" t="n">
        <v>17297050</v>
      </c>
      <c r="F25" s="434" t="n">
        <v>17297050</v>
      </c>
    </row>
    <row r="26">
      <c r="A26" s="432" t="inlineStr">
        <is>
          <t>MOIS01</t>
        </is>
      </c>
      <c r="B26" s="432" t="inlineStr">
        <is>
          <t>MANO OBRA HIDROSANIT.1 AYUDANTE-1 OFI</t>
        </is>
      </c>
      <c r="C26" s="433" t="inlineStr">
        <is>
          <t>HC</t>
        </is>
      </c>
      <c r="D26" s="434" t="n">
        <v>5.5</v>
      </c>
      <c r="E26" s="434" t="n">
        <v>25391</v>
      </c>
      <c r="F26" s="434" t="n">
        <v>139650.5</v>
      </c>
    </row>
    <row r="27">
      <c r="A27" s="432" t="inlineStr">
        <is>
          <t>MQ0301</t>
        </is>
      </c>
      <c r="B27" s="432" t="inlineStr">
        <is>
          <t>HERRAMIENTA MENOR</t>
        </is>
      </c>
      <c r="C27" s="433" t="inlineStr">
        <is>
          <t>GLB</t>
        </is>
      </c>
      <c r="D27" s="434" t="n">
        <v>3</v>
      </c>
      <c r="E27" s="434" t="n">
        <v>1600</v>
      </c>
      <c r="F27" s="434" t="n">
        <v>4800</v>
      </c>
    </row>
    <row r="28" ht="15" customHeight="1" thickBot="1">
      <c r="A28" s="435" t="inlineStr">
        <is>
          <t>SUBTOTAL 03-01-09:</t>
        </is>
      </c>
      <c r="F28" s="436" t="n">
        <v>17441500.5</v>
      </c>
    </row>
    <row r="29" ht="15" customHeight="1" thickTop="1"/>
    <row r="30">
      <c r="A30" s="430" t="inlineStr">
        <is>
          <t>03-01-10 - MOTOR ELEC 30HP 3600 RPM BOMBA</t>
        </is>
      </c>
      <c r="B30" s="430" t="n"/>
      <c r="C30" s="430" t="n"/>
      <c r="D30" s="430" t="n"/>
      <c r="E30" s="430" t="n"/>
      <c r="F30" s="430" t="n"/>
    </row>
    <row r="31">
      <c r="A31" s="431" t="inlineStr">
        <is>
          <t>CÓDIGO</t>
        </is>
      </c>
      <c r="B31" s="431" t="inlineStr">
        <is>
          <t>DESCRIPCIÓN</t>
        </is>
      </c>
      <c r="C31" s="431" t="inlineStr">
        <is>
          <t>UND</t>
        </is>
      </c>
      <c r="D31" s="431" t="inlineStr">
        <is>
          <t>CANT.</t>
        </is>
      </c>
      <c r="E31" s="431" t="inlineStr">
        <is>
          <t>VR. UNIT</t>
        </is>
      </c>
      <c r="F31" s="431" t="inlineStr">
        <is>
          <t>VR. TOTAL</t>
        </is>
      </c>
    </row>
    <row r="32">
      <c r="A32" s="432" t="inlineStr">
        <is>
          <t>004891</t>
        </is>
      </c>
      <c r="B32" s="432" t="inlineStr">
        <is>
          <t>MOTOR EL.BOMB 30HP</t>
        </is>
      </c>
      <c r="C32" s="433" t="inlineStr">
        <is>
          <t>UND</t>
        </is>
      </c>
      <c r="D32" s="434" t="n">
        <v>1</v>
      </c>
      <c r="E32" s="434" t="n">
        <v>3836700</v>
      </c>
      <c r="F32" s="434" t="n">
        <v>3836700</v>
      </c>
    </row>
    <row r="33">
      <c r="A33" s="432" t="inlineStr">
        <is>
          <t>MOIS01</t>
        </is>
      </c>
      <c r="B33" s="432" t="inlineStr">
        <is>
          <t>MANO OBRA HIDROSANIT.1 AYUDANTE-1 OFI</t>
        </is>
      </c>
      <c r="C33" s="433" t="inlineStr">
        <is>
          <t>HC</t>
        </is>
      </c>
      <c r="D33" s="434" t="n">
        <v>4</v>
      </c>
      <c r="E33" s="434" t="n">
        <v>25391</v>
      </c>
      <c r="F33" s="434" t="n">
        <v>101564</v>
      </c>
    </row>
    <row r="34">
      <c r="A34" s="432" t="inlineStr">
        <is>
          <t>MQ0301</t>
        </is>
      </c>
      <c r="B34" s="432" t="inlineStr">
        <is>
          <t>HERRAMIENTA MENOR</t>
        </is>
      </c>
      <c r="C34" s="433" t="inlineStr">
        <is>
          <t>GLB</t>
        </is>
      </c>
      <c r="D34" s="434" t="n">
        <v>3</v>
      </c>
      <c r="E34" s="434" t="n">
        <v>1600</v>
      </c>
      <c r="F34" s="434" t="n">
        <v>4800</v>
      </c>
    </row>
    <row r="35" ht="15" customHeight="1" thickBot="1">
      <c r="A35" s="435" t="inlineStr">
        <is>
          <t>SUBTOTAL 03-01-10:</t>
        </is>
      </c>
      <c r="F35" s="436" t="n">
        <v>3943064</v>
      </c>
    </row>
    <row r="36" ht="15" customHeight="1" thickTop="1"/>
    <row r="37" ht="15" customHeight="1" thickBot="1">
      <c r="A37" s="430" t="inlineStr">
        <is>
          <t>03-02-01 - BOMBA SUMERG3.0 HP LAPICERO 4" A.INOX</t>
        </is>
      </c>
      <c r="B37" s="430" t="n"/>
      <c r="C37" s="430" t="n"/>
      <c r="D37" s="430" t="n"/>
      <c r="E37" s="430" t="n"/>
      <c r="F37" s="430" t="n"/>
    </row>
    <row r="38" ht="15" customHeight="1" thickTop="1">
      <c r="A38" s="431" t="inlineStr">
        <is>
          <t>CÓDIGO</t>
        </is>
      </c>
      <c r="B38" s="431" t="inlineStr">
        <is>
          <t>DESCRIPCIÓN</t>
        </is>
      </c>
      <c r="C38" s="431" t="inlineStr">
        <is>
          <t>UND</t>
        </is>
      </c>
      <c r="D38" s="431" t="inlineStr">
        <is>
          <t>CANT.</t>
        </is>
      </c>
      <c r="E38" s="431" t="inlineStr">
        <is>
          <t>VR. UNIT</t>
        </is>
      </c>
      <c r="F38" s="431" t="inlineStr">
        <is>
          <t>VR. TOTAL</t>
        </is>
      </c>
    </row>
    <row r="39">
      <c r="A39" s="432" t="inlineStr">
        <is>
          <t>004868</t>
        </is>
      </c>
      <c r="B39" s="432" t="inlineStr">
        <is>
          <t>"BOM.SUM. 3 HP LAPIC 4"</t>
        </is>
      </c>
      <c r="C39" s="433" t="inlineStr">
        <is>
          <t>UND</t>
        </is>
      </c>
      <c r="D39" s="434" t="n">
        <v>1</v>
      </c>
      <c r="E39" s="434" t="n">
        <v>4611000</v>
      </c>
      <c r="F39" s="434" t="n">
        <v>4611000</v>
      </c>
    </row>
    <row r="40">
      <c r="A40" s="432" t="inlineStr">
        <is>
          <t>MOIE01</t>
        </is>
      </c>
      <c r="B40" s="432" t="inlineStr">
        <is>
          <t>MANO OBRA ELECTRICAS1 AYUDANTE-1 OFI</t>
        </is>
      </c>
      <c r="C40" s="433" t="inlineStr">
        <is>
          <t>HC</t>
        </is>
      </c>
      <c r="D40" s="434" t="n">
        <v>1</v>
      </c>
      <c r="E40" s="434" t="n">
        <v>33455</v>
      </c>
      <c r="F40" s="434" t="n">
        <v>33455</v>
      </c>
    </row>
    <row r="41">
      <c r="A41" s="432" t="inlineStr">
        <is>
          <t>MOIS01</t>
        </is>
      </c>
      <c r="B41" s="432" t="inlineStr">
        <is>
          <t>MANO OBRA HIDROSANIT.1 AYUDANTE-1 OFI</t>
        </is>
      </c>
      <c r="C41" s="433" t="inlineStr">
        <is>
          <t>HC</t>
        </is>
      </c>
      <c r="D41" s="434" t="n">
        <v>2</v>
      </c>
      <c r="E41" s="434" t="n">
        <v>25391</v>
      </c>
      <c r="F41" s="434" t="n">
        <v>50782</v>
      </c>
    </row>
    <row r="42">
      <c r="A42" s="432" t="inlineStr">
        <is>
          <t>MQ0212</t>
        </is>
      </c>
      <c r="B42" s="432" t="inlineStr">
        <is>
          <t>CARRO GRUA 5 TONELADAS</t>
        </is>
      </c>
      <c r="C42" s="433" t="inlineStr">
        <is>
          <t>HRS</t>
        </is>
      </c>
      <c r="D42" s="434" t="n">
        <v>2</v>
      </c>
      <c r="E42" s="434" t="n">
        <v>51000</v>
      </c>
      <c r="F42" s="434" t="n">
        <v>102000</v>
      </c>
    </row>
    <row r="43">
      <c r="A43" s="432" t="inlineStr">
        <is>
          <t>MQ0301</t>
        </is>
      </c>
      <c r="B43" s="432" t="inlineStr">
        <is>
          <t>HERRAMIENTA MENOR</t>
        </is>
      </c>
      <c r="C43" s="433" t="inlineStr">
        <is>
          <t>GLB</t>
        </is>
      </c>
      <c r="D43" s="434" t="n">
        <v>3</v>
      </c>
      <c r="E43" s="434" t="n">
        <v>1600</v>
      </c>
      <c r="F43" s="434" t="n">
        <v>4800</v>
      </c>
    </row>
    <row r="44">
      <c r="A44" s="435" t="inlineStr">
        <is>
          <t>SUBTOTAL 03-02-01:</t>
        </is>
      </c>
      <c r="F44" s="436" t="n">
        <v>4802037</v>
      </c>
    </row>
    <row r="46">
      <c r="A46" s="430" t="inlineStr">
        <is>
          <t>03-02-02 - BOMBA SUMERG 15 HP LAPICERO 6" A.INOX</t>
        </is>
      </c>
      <c r="B46" s="430" t="n"/>
      <c r="C46" s="430" t="n"/>
      <c r="D46" s="430" t="n"/>
      <c r="E46" s="430" t="n"/>
      <c r="F46" s="430" t="n"/>
    </row>
    <row r="47">
      <c r="A47" s="431" t="inlineStr">
        <is>
          <t>CÓDIGO</t>
        </is>
      </c>
      <c r="B47" s="431" t="inlineStr">
        <is>
          <t>DESCRIPCIÓN</t>
        </is>
      </c>
      <c r="C47" s="431" t="inlineStr">
        <is>
          <t>UND</t>
        </is>
      </c>
      <c r="D47" s="431" t="inlineStr">
        <is>
          <t>CANT.</t>
        </is>
      </c>
      <c r="E47" s="431" t="inlineStr">
        <is>
          <t>VR. UNIT</t>
        </is>
      </c>
      <c r="F47" s="431" t="inlineStr">
        <is>
          <t>VR. TOTAL</t>
        </is>
      </c>
    </row>
    <row r="48">
      <c r="A48" s="432" t="inlineStr">
        <is>
          <t>004857</t>
        </is>
      </c>
      <c r="B48" s="432" t="inlineStr">
        <is>
          <t>"BOM.SUM. 15 HP LAPIC 6"</t>
        </is>
      </c>
      <c r="C48" s="433" t="inlineStr">
        <is>
          <t>UND</t>
        </is>
      </c>
      <c r="D48" s="434" t="n">
        <v>1</v>
      </c>
      <c r="E48" s="434" t="n">
        <v>11008400</v>
      </c>
      <c r="F48" s="434" t="n">
        <v>11008400</v>
      </c>
    </row>
    <row r="49">
      <c r="A49" s="432" t="inlineStr">
        <is>
          <t>MOIE01</t>
        </is>
      </c>
      <c r="B49" s="432" t="inlineStr">
        <is>
          <t>MANO OBRA ELECTRICAS1 AYUDANTE-1 OFI</t>
        </is>
      </c>
      <c r="C49" s="433" t="inlineStr">
        <is>
          <t>HC</t>
        </is>
      </c>
      <c r="D49" s="434" t="n">
        <v>2.5</v>
      </c>
      <c r="E49" s="434" t="n">
        <v>33455</v>
      </c>
      <c r="F49" s="434" t="n">
        <v>83637.5</v>
      </c>
    </row>
    <row r="50">
      <c r="A50" s="432" t="inlineStr">
        <is>
          <t>MOIS01</t>
        </is>
      </c>
      <c r="B50" s="432" t="inlineStr">
        <is>
          <t>MANO OBRA HIDROSANIT.1 AYUDANTE-1 OFI</t>
        </is>
      </c>
      <c r="C50" s="433" t="inlineStr">
        <is>
          <t>HC</t>
        </is>
      </c>
      <c r="D50" s="434" t="n">
        <v>3</v>
      </c>
      <c r="E50" s="434" t="n">
        <v>25391</v>
      </c>
      <c r="F50" s="434" t="n">
        <v>76173</v>
      </c>
    </row>
    <row r="51">
      <c r="A51" s="432" t="inlineStr">
        <is>
          <t>MQ0212</t>
        </is>
      </c>
      <c r="B51" s="432" t="inlineStr">
        <is>
          <t>CARRO GRUA 5 TONELADAS</t>
        </is>
      </c>
      <c r="C51" s="433" t="inlineStr">
        <is>
          <t>HRS</t>
        </is>
      </c>
      <c r="D51" s="434" t="n">
        <v>3.5</v>
      </c>
      <c r="E51" s="434" t="n">
        <v>51000</v>
      </c>
      <c r="F51" s="434" t="n">
        <v>178500</v>
      </c>
    </row>
    <row r="52">
      <c r="A52" s="432" t="inlineStr">
        <is>
          <t>MQ0301</t>
        </is>
      </c>
      <c r="B52" s="432" t="inlineStr">
        <is>
          <t>HERRAMIENTA MENOR</t>
        </is>
      </c>
      <c r="C52" s="433" t="inlineStr">
        <is>
          <t>GLB</t>
        </is>
      </c>
      <c r="D52" s="434" t="n">
        <v>3</v>
      </c>
      <c r="E52" s="434" t="n">
        <v>1600</v>
      </c>
      <c r="F52" s="434" t="n">
        <v>4800</v>
      </c>
    </row>
    <row r="53">
      <c r="A53" s="435" t="inlineStr">
        <is>
          <t>SUBTOTAL 03-02-02:</t>
        </is>
      </c>
      <c r="F53" s="436" t="n">
        <v>11351510.5</v>
      </c>
    </row>
    <row r="55">
      <c r="A55" s="430" t="inlineStr">
        <is>
          <t>03-02-04 - BOMBA SUMERG 25HP LAPICERO 6" A.INOX</t>
        </is>
      </c>
      <c r="B55" s="430" t="n"/>
      <c r="C55" s="430" t="n"/>
      <c r="D55" s="430" t="n"/>
      <c r="E55" s="430" t="n"/>
      <c r="F55" s="430" t="n"/>
    </row>
    <row r="56">
      <c r="A56" s="431" t="inlineStr">
        <is>
          <t>CÓDIGO</t>
        </is>
      </c>
      <c r="B56" s="431" t="inlineStr">
        <is>
          <t>DESCRIPCIÓN</t>
        </is>
      </c>
      <c r="C56" s="431" t="inlineStr">
        <is>
          <t>UND</t>
        </is>
      </c>
      <c r="D56" s="431" t="inlineStr">
        <is>
          <t>CANT.</t>
        </is>
      </c>
      <c r="E56" s="431" t="inlineStr">
        <is>
          <t>VR. UNIT</t>
        </is>
      </c>
      <c r="F56" s="431" t="inlineStr">
        <is>
          <t>VR. TOTAL</t>
        </is>
      </c>
    </row>
    <row r="57" ht="15" customHeight="1" thickBot="1">
      <c r="A57" s="432" t="inlineStr">
        <is>
          <t>005167</t>
        </is>
      </c>
      <c r="B57" s="432" t="inlineStr">
        <is>
          <t>"BOM.SUM. 25 HP LAPIC 6"</t>
        </is>
      </c>
      <c r="C57" s="433" t="inlineStr">
        <is>
          <t>UND</t>
        </is>
      </c>
      <c r="D57" s="434" t="n">
        <v>1</v>
      </c>
      <c r="E57" s="434" t="n">
        <v>15947100</v>
      </c>
      <c r="F57" s="434" t="n">
        <v>15947100</v>
      </c>
    </row>
    <row r="58" ht="15" customHeight="1" thickTop="1">
      <c r="A58" s="432" t="inlineStr">
        <is>
          <t>MOIE01</t>
        </is>
      </c>
      <c r="B58" s="432" t="inlineStr">
        <is>
          <t>MANO OBRA ELECTRICAS1 AYUDANTE-1 OFI</t>
        </is>
      </c>
      <c r="C58" s="433" t="inlineStr">
        <is>
          <t>HC</t>
        </is>
      </c>
      <c r="D58" s="434" t="n">
        <v>3.5</v>
      </c>
      <c r="E58" s="434" t="n">
        <v>33455</v>
      </c>
      <c r="F58" s="434" t="n">
        <v>117092.5</v>
      </c>
    </row>
    <row r="59">
      <c r="A59" s="432" t="inlineStr">
        <is>
          <t>MOIS01</t>
        </is>
      </c>
      <c r="B59" s="432" t="inlineStr">
        <is>
          <t>MANO OBRA HIDROSANIT.1 AYUDANTE-1 OFI</t>
        </is>
      </c>
      <c r="C59" s="433" t="inlineStr">
        <is>
          <t>HC</t>
        </is>
      </c>
      <c r="D59" s="434" t="n">
        <v>5</v>
      </c>
      <c r="E59" s="434" t="n">
        <v>25391</v>
      </c>
      <c r="F59" s="434" t="n">
        <v>126955</v>
      </c>
    </row>
    <row r="60">
      <c r="A60" s="432" t="inlineStr">
        <is>
          <t>MQ0212</t>
        </is>
      </c>
      <c r="B60" s="432" t="inlineStr">
        <is>
          <t>CARRO GRUA 5 TONELADAS</t>
        </is>
      </c>
      <c r="C60" s="433" t="inlineStr">
        <is>
          <t>HRS</t>
        </is>
      </c>
      <c r="D60" s="434" t="n">
        <v>4.5</v>
      </c>
      <c r="E60" s="434" t="n">
        <v>51000</v>
      </c>
      <c r="F60" s="434" t="n">
        <v>229500</v>
      </c>
    </row>
    <row r="61">
      <c r="A61" s="432" t="inlineStr">
        <is>
          <t>MQ0301</t>
        </is>
      </c>
      <c r="B61" s="432" t="inlineStr">
        <is>
          <t>HERRAMIENTA MENOR</t>
        </is>
      </c>
      <c r="C61" s="433" t="inlineStr">
        <is>
          <t>GLB</t>
        </is>
      </c>
      <c r="D61" s="434" t="n">
        <v>3.5</v>
      </c>
      <c r="E61" s="434" t="n">
        <v>1600</v>
      </c>
      <c r="F61" s="434" t="n">
        <v>5600</v>
      </c>
    </row>
    <row r="62">
      <c r="A62" s="435" t="inlineStr">
        <is>
          <t>SUBTOTAL 03-02-04:</t>
        </is>
      </c>
      <c r="F62" s="436" t="n">
        <v>16426247.5</v>
      </c>
    </row>
    <row r="64" ht="15" customHeight="1" thickBot="1">
      <c r="A64" s="430" t="inlineStr">
        <is>
          <t>03-02-05 - BOMBA SUMERG 30HP LAPICERO 6" A.INOX</t>
        </is>
      </c>
      <c r="B64" s="430" t="n"/>
      <c r="C64" s="430" t="n"/>
      <c r="D64" s="430" t="n"/>
      <c r="E64" s="430" t="n"/>
      <c r="F64" s="430" t="n"/>
    </row>
    <row r="65" ht="15" customHeight="1" thickTop="1">
      <c r="A65" s="431" t="inlineStr">
        <is>
          <t>CÓDIGO</t>
        </is>
      </c>
      <c r="B65" s="431" t="inlineStr">
        <is>
          <t>DESCRIPCIÓN</t>
        </is>
      </c>
      <c r="C65" s="431" t="inlineStr">
        <is>
          <t>UND</t>
        </is>
      </c>
      <c r="D65" s="431" t="inlineStr">
        <is>
          <t>CANT.</t>
        </is>
      </c>
      <c r="E65" s="431" t="inlineStr">
        <is>
          <t>VR. UNIT</t>
        </is>
      </c>
      <c r="F65" s="431" t="inlineStr">
        <is>
          <t>VR. TOTAL</t>
        </is>
      </c>
    </row>
    <row r="66" ht="15" customHeight="1" thickBot="1">
      <c r="A66" s="432" t="inlineStr">
        <is>
          <t>004864</t>
        </is>
      </c>
      <c r="B66" s="432" t="inlineStr">
        <is>
          <t>"BOM.SUM. 30 HP LAPIC. 6"</t>
        </is>
      </c>
      <c r="C66" s="433" t="inlineStr">
        <is>
          <t>UND</t>
        </is>
      </c>
      <c r="D66" s="434" t="n">
        <v>1</v>
      </c>
      <c r="E66" s="434" t="n">
        <v>23187500</v>
      </c>
      <c r="F66" s="434" t="n">
        <v>23187500</v>
      </c>
    </row>
    <row r="67" ht="15" customHeight="1" thickTop="1">
      <c r="A67" s="432" t="inlineStr">
        <is>
          <t>MOIE01</t>
        </is>
      </c>
      <c r="B67" s="432" t="inlineStr">
        <is>
          <t>MANO OBRA ELECTRICAS1 AYUDANTE-1 OFI</t>
        </is>
      </c>
      <c r="C67" s="433" t="inlineStr">
        <is>
          <t>HC</t>
        </is>
      </c>
      <c r="D67" s="434" t="n">
        <v>3</v>
      </c>
      <c r="E67" s="434" t="n">
        <v>33455</v>
      </c>
      <c r="F67" s="434" t="n">
        <v>100365</v>
      </c>
    </row>
    <row r="68">
      <c r="A68" s="432" t="inlineStr">
        <is>
          <t>MOIS01</t>
        </is>
      </c>
      <c r="B68" s="432" t="inlineStr">
        <is>
          <t>MANO OBRA HIDROSANIT.1 AYUDANTE-1 OFI</t>
        </is>
      </c>
      <c r="C68" s="433" t="inlineStr">
        <is>
          <t>HC</t>
        </is>
      </c>
      <c r="D68" s="434" t="n">
        <v>5</v>
      </c>
      <c r="E68" s="434" t="n">
        <v>25391</v>
      </c>
      <c r="F68" s="434" t="n">
        <v>126955</v>
      </c>
    </row>
    <row r="69">
      <c r="A69" s="432" t="inlineStr">
        <is>
          <t>MQ0212</t>
        </is>
      </c>
      <c r="B69" s="432" t="inlineStr">
        <is>
          <t>CARRO GRUA 5 TONELADAS</t>
        </is>
      </c>
      <c r="C69" s="433" t="inlineStr">
        <is>
          <t>HRS</t>
        </is>
      </c>
      <c r="D69" s="434" t="n">
        <v>5.5</v>
      </c>
      <c r="E69" s="434" t="n">
        <v>51000</v>
      </c>
      <c r="F69" s="434" t="n">
        <v>280500</v>
      </c>
    </row>
    <row r="70">
      <c r="A70" s="432" t="inlineStr">
        <is>
          <t>MQ0301</t>
        </is>
      </c>
      <c r="B70" s="432" t="inlineStr">
        <is>
          <t>HERRAMIENTA MENOR</t>
        </is>
      </c>
      <c r="C70" s="433" t="inlineStr">
        <is>
          <t>GLB</t>
        </is>
      </c>
      <c r="D70" s="434" t="n">
        <v>4</v>
      </c>
      <c r="E70" s="434" t="n">
        <v>1600</v>
      </c>
      <c r="F70" s="434" t="n">
        <v>6400</v>
      </c>
    </row>
    <row r="71">
      <c r="A71" s="435" t="inlineStr">
        <is>
          <t>SUBTOTAL 03-02-05:</t>
        </is>
      </c>
      <c r="F71" s="436" t="n">
        <v>23701720</v>
      </c>
    </row>
    <row r="73">
      <c r="A73" s="430" t="inlineStr">
        <is>
          <t>03-02-06 - BOMBA SUMERG 40HP LAPICERO 6" A.INOX</t>
        </is>
      </c>
      <c r="B73" s="430" t="n"/>
      <c r="C73" s="430" t="n"/>
      <c r="D73" s="430" t="n"/>
      <c r="E73" s="430" t="n"/>
      <c r="F73" s="430" t="n"/>
    </row>
    <row r="74">
      <c r="A74" s="431" t="inlineStr">
        <is>
          <t>CÓDIGO</t>
        </is>
      </c>
      <c r="B74" s="431" t="inlineStr">
        <is>
          <t>DESCRIPCIÓN</t>
        </is>
      </c>
      <c r="C74" s="431" t="inlineStr">
        <is>
          <t>UND</t>
        </is>
      </c>
      <c r="D74" s="431" t="inlineStr">
        <is>
          <t>CANT.</t>
        </is>
      </c>
      <c r="E74" s="431" t="inlineStr">
        <is>
          <t>VR. UNIT</t>
        </is>
      </c>
      <c r="F74" s="431" t="inlineStr">
        <is>
          <t>VR. TOTAL</t>
        </is>
      </c>
    </row>
    <row r="75">
      <c r="A75" s="432" t="inlineStr">
        <is>
          <t>004866</t>
        </is>
      </c>
      <c r="B75" s="432" t="inlineStr">
        <is>
          <t>"BOM.SUM. 40 HP LAPIC. 6"</t>
        </is>
      </c>
      <c r="C75" s="433" t="inlineStr">
        <is>
          <t>UND</t>
        </is>
      </c>
      <c r="D75" s="434" t="n">
        <v>1</v>
      </c>
      <c r="E75" s="434" t="n">
        <v>25725000</v>
      </c>
      <c r="F75" s="434" t="n">
        <v>25725000</v>
      </c>
    </row>
    <row r="76">
      <c r="A76" s="432" t="inlineStr">
        <is>
          <t>MOIE01</t>
        </is>
      </c>
      <c r="B76" s="432" t="inlineStr">
        <is>
          <t>MANO OBRA ELECTRICAS1 AYUDANTE-1 OFI</t>
        </is>
      </c>
      <c r="C76" s="433" t="inlineStr">
        <is>
          <t>HC</t>
        </is>
      </c>
      <c r="D76" s="434" t="n">
        <v>3.5</v>
      </c>
      <c r="E76" s="434" t="n">
        <v>33455</v>
      </c>
      <c r="F76" s="434" t="n">
        <v>117092.5</v>
      </c>
    </row>
    <row r="77">
      <c r="A77" s="432" t="inlineStr">
        <is>
          <t>MOIS01</t>
        </is>
      </c>
      <c r="B77" s="432" t="inlineStr">
        <is>
          <t>MANO OBRA HIDROSANIT.1 AYUDANTE-1 OFI</t>
        </is>
      </c>
      <c r="C77" s="433" t="inlineStr">
        <is>
          <t>HC</t>
        </is>
      </c>
      <c r="D77" s="434" t="n">
        <v>5</v>
      </c>
      <c r="E77" s="434" t="n">
        <v>25391</v>
      </c>
      <c r="F77" s="434" t="n">
        <v>126955</v>
      </c>
    </row>
    <row r="78">
      <c r="A78" s="432" t="inlineStr">
        <is>
          <t>MQ0212</t>
        </is>
      </c>
      <c r="B78" s="432" t="inlineStr">
        <is>
          <t>CARRO GRUA 5 TONELADAS</t>
        </is>
      </c>
      <c r="C78" s="433" t="inlineStr">
        <is>
          <t>HRS</t>
        </is>
      </c>
      <c r="D78" s="434" t="n">
        <v>5.5</v>
      </c>
      <c r="E78" s="434" t="n">
        <v>51000</v>
      </c>
      <c r="F78" s="434" t="n">
        <v>280500</v>
      </c>
    </row>
    <row r="79">
      <c r="A79" s="432" t="inlineStr">
        <is>
          <t>MQ0301</t>
        </is>
      </c>
      <c r="B79" s="432" t="inlineStr">
        <is>
          <t>HERRAMIENTA MENOR</t>
        </is>
      </c>
      <c r="C79" s="433" t="inlineStr">
        <is>
          <t>GLB</t>
        </is>
      </c>
      <c r="D79" s="434" t="n">
        <v>3.5</v>
      </c>
      <c r="E79" s="434" t="n">
        <v>1600</v>
      </c>
      <c r="F79" s="434" t="n">
        <v>5600</v>
      </c>
    </row>
    <row r="80">
      <c r="A80" s="435" t="inlineStr">
        <is>
          <t>SUBTOTAL 03-02-06:</t>
        </is>
      </c>
      <c r="F80" s="436" t="n">
        <v>26255147.5</v>
      </c>
    </row>
    <row r="81" ht="15" customHeight="1" thickBot="1"/>
    <row r="82" ht="15" customHeight="1" thickTop="1">
      <c r="A82" s="430" t="inlineStr">
        <is>
          <t>03-02-07 - BOMBA SUMERG 50HP LAPICERO 6" A.INOX</t>
        </is>
      </c>
      <c r="B82" s="430" t="n"/>
      <c r="C82" s="430" t="n"/>
      <c r="D82" s="430" t="n"/>
      <c r="E82" s="430" t="n"/>
      <c r="F82" s="430" t="n"/>
    </row>
    <row r="83">
      <c r="A83" s="431" t="inlineStr">
        <is>
          <t>CÓDIGO</t>
        </is>
      </c>
      <c r="B83" s="431" t="inlineStr">
        <is>
          <t>DESCRIPCIÓN</t>
        </is>
      </c>
      <c r="C83" s="431" t="inlineStr">
        <is>
          <t>UND</t>
        </is>
      </c>
      <c r="D83" s="431" t="inlineStr">
        <is>
          <t>CANT.</t>
        </is>
      </c>
      <c r="E83" s="431" t="inlineStr">
        <is>
          <t>VR. UNIT</t>
        </is>
      </c>
      <c r="F83" s="431" t="inlineStr">
        <is>
          <t>VR. TOTAL</t>
        </is>
      </c>
    </row>
    <row r="84">
      <c r="A84" s="432" t="inlineStr">
        <is>
          <t>004879</t>
        </is>
      </c>
      <c r="B84" s="432" t="inlineStr">
        <is>
          <t>"BOM.SUM. 50 HP LAPIC. 6"</t>
        </is>
      </c>
      <c r="C84" s="433" t="inlineStr">
        <is>
          <t>UND</t>
        </is>
      </c>
      <c r="D84" s="434" t="n">
        <v>1</v>
      </c>
      <c r="E84" s="434" t="n">
        <v>30056250</v>
      </c>
      <c r="F84" s="434" t="n">
        <v>30056250</v>
      </c>
    </row>
    <row r="85">
      <c r="A85" s="432" t="inlineStr">
        <is>
          <t>MOIE01</t>
        </is>
      </c>
      <c r="B85" s="432" t="inlineStr">
        <is>
          <t>MANO OBRA ELECTRICAS1 AYUDANTE-1 OFI</t>
        </is>
      </c>
      <c r="C85" s="433" t="inlineStr">
        <is>
          <t>HC</t>
        </is>
      </c>
      <c r="D85" s="434" t="n">
        <v>4</v>
      </c>
      <c r="E85" s="434" t="n">
        <v>33455</v>
      </c>
      <c r="F85" s="434" t="n">
        <v>133820</v>
      </c>
    </row>
    <row r="86">
      <c r="A86" s="432" t="inlineStr">
        <is>
          <t>MOIS01</t>
        </is>
      </c>
      <c r="B86" s="432" t="inlineStr">
        <is>
          <t>MANO OBRA HIDROSANIT.1 AYUDANTE-1 OFI</t>
        </is>
      </c>
      <c r="C86" s="433" t="inlineStr">
        <is>
          <t>HC</t>
        </is>
      </c>
      <c r="D86" s="434" t="n">
        <v>5</v>
      </c>
      <c r="E86" s="434" t="n">
        <v>25391</v>
      </c>
      <c r="F86" s="434" t="n">
        <v>126955</v>
      </c>
    </row>
    <row r="87">
      <c r="A87" s="432" t="inlineStr">
        <is>
          <t>MQ0212</t>
        </is>
      </c>
      <c r="B87" s="432" t="inlineStr">
        <is>
          <t>CARRO GRUA 5 TONELADAS</t>
        </is>
      </c>
      <c r="C87" s="433" t="inlineStr">
        <is>
          <t>HRS</t>
        </is>
      </c>
      <c r="D87" s="434" t="n">
        <v>5</v>
      </c>
      <c r="E87" s="434" t="n">
        <v>51000</v>
      </c>
      <c r="F87" s="434" t="n">
        <v>255000</v>
      </c>
    </row>
    <row r="88" ht="15" customHeight="1" thickBot="1">
      <c r="A88" s="432" t="inlineStr">
        <is>
          <t>MQ0301</t>
        </is>
      </c>
      <c r="B88" s="432" t="inlineStr">
        <is>
          <t>HERRAMIENTA MENOR</t>
        </is>
      </c>
      <c r="C88" s="433" t="inlineStr">
        <is>
          <t>GLB</t>
        </is>
      </c>
      <c r="D88" s="434" t="n">
        <v>4</v>
      </c>
      <c r="E88" s="434" t="n">
        <v>1600</v>
      </c>
      <c r="F88" s="434" t="n">
        <v>6400</v>
      </c>
    </row>
    <row r="89" ht="15" customHeight="1" thickTop="1">
      <c r="A89" s="435" t="inlineStr">
        <is>
          <t>SUBTOTAL 03-02-07:</t>
        </is>
      </c>
      <c r="F89" s="436" t="n">
        <v>30578425</v>
      </c>
    </row>
    <row r="90" ht="15" customHeight="1" thickBot="1"/>
    <row r="91" ht="15" customHeight="1" thickTop="1">
      <c r="A91" s="430" t="inlineStr">
        <is>
          <t>03-02-08 - BOMBA SUMERG 60HP LAPICERO 6" A.INOX</t>
        </is>
      </c>
      <c r="B91" s="430" t="n"/>
      <c r="C91" s="430" t="n"/>
      <c r="D91" s="430" t="n"/>
      <c r="E91" s="430" t="n"/>
      <c r="F91" s="430" t="n"/>
    </row>
    <row r="92">
      <c r="A92" s="431" t="inlineStr">
        <is>
          <t>CÓDIGO</t>
        </is>
      </c>
      <c r="B92" s="431" t="inlineStr">
        <is>
          <t>DESCRIPCIÓN</t>
        </is>
      </c>
      <c r="C92" s="431" t="inlineStr">
        <is>
          <t>UND</t>
        </is>
      </c>
      <c r="D92" s="431" t="inlineStr">
        <is>
          <t>CANT.</t>
        </is>
      </c>
      <c r="E92" s="431" t="inlineStr">
        <is>
          <t>VR. UNIT</t>
        </is>
      </c>
      <c r="F92" s="431" t="inlineStr">
        <is>
          <t>VR. TOTAL</t>
        </is>
      </c>
    </row>
    <row r="93">
      <c r="A93" s="432" t="inlineStr">
        <is>
          <t>004877</t>
        </is>
      </c>
      <c r="B93" s="432" t="inlineStr">
        <is>
          <t>"BOM.SUM. 60 HP LAPIC. 6"</t>
        </is>
      </c>
      <c r="C93" s="433" t="inlineStr">
        <is>
          <t>UND</t>
        </is>
      </c>
      <c r="D93" s="434" t="n">
        <v>1</v>
      </c>
      <c r="E93" s="434" t="n">
        <v>37567250</v>
      </c>
      <c r="F93" s="434" t="n">
        <v>37567250</v>
      </c>
    </row>
    <row r="94">
      <c r="A94" s="432" t="inlineStr">
        <is>
          <t>MOIS01</t>
        </is>
      </c>
      <c r="B94" s="432" t="inlineStr">
        <is>
          <t>MANO OBRA HIDROSANIT.1 AYUDANTE-1 OFI</t>
        </is>
      </c>
      <c r="C94" s="433" t="inlineStr">
        <is>
          <t>HC</t>
        </is>
      </c>
      <c r="D94" s="434" t="n">
        <v>5</v>
      </c>
      <c r="E94" s="434" t="n">
        <v>25391</v>
      </c>
      <c r="F94" s="434" t="n">
        <v>126955</v>
      </c>
    </row>
    <row r="95">
      <c r="A95" s="432" t="inlineStr">
        <is>
          <t>MQ0212</t>
        </is>
      </c>
      <c r="B95" s="432" t="inlineStr">
        <is>
          <t>CARRO GRUA 5 TONELADAS</t>
        </is>
      </c>
      <c r="C95" s="433" t="inlineStr">
        <is>
          <t>HRS</t>
        </is>
      </c>
      <c r="D95" s="434" t="n">
        <v>5</v>
      </c>
      <c r="E95" s="434" t="n">
        <v>51000</v>
      </c>
      <c r="F95" s="434" t="n">
        <v>255000</v>
      </c>
    </row>
    <row r="96">
      <c r="A96" s="432" t="inlineStr">
        <is>
          <t>MQ0301</t>
        </is>
      </c>
      <c r="B96" s="432" t="inlineStr">
        <is>
          <t>HERRAMIENTA MENOR</t>
        </is>
      </c>
      <c r="C96" s="433" t="inlineStr">
        <is>
          <t>GLB</t>
        </is>
      </c>
      <c r="D96" s="434" t="n">
        <v>5</v>
      </c>
      <c r="E96" s="434" t="n">
        <v>1600</v>
      </c>
      <c r="F96" s="434" t="n">
        <v>8000</v>
      </c>
    </row>
    <row r="97">
      <c r="A97" s="435" t="inlineStr">
        <is>
          <t>SUBTOTAL 03-02-08:</t>
        </is>
      </c>
      <c r="F97" s="436" t="n">
        <v>37957205</v>
      </c>
    </row>
    <row r="99">
      <c r="A99" s="430" t="inlineStr">
        <is>
          <t>03-02-09 - BOMBA SUMERG1.0 HP LAPICERO 4" BRONCE</t>
        </is>
      </c>
      <c r="B99" s="430" t="n"/>
      <c r="C99" s="430" t="n"/>
      <c r="D99" s="430" t="n"/>
      <c r="E99" s="430" t="n"/>
      <c r="F99" s="430" t="n"/>
    </row>
    <row r="100">
      <c r="A100" s="431" t="inlineStr">
        <is>
          <t>CÓDIGO</t>
        </is>
      </c>
      <c r="B100" s="431" t="inlineStr">
        <is>
          <t>DESCRIPCIÓN</t>
        </is>
      </c>
      <c r="C100" s="431" t="inlineStr">
        <is>
          <t>UND</t>
        </is>
      </c>
      <c r="D100" s="431" t="inlineStr">
        <is>
          <t>CANT.</t>
        </is>
      </c>
      <c r="E100" s="431" t="inlineStr">
        <is>
          <t>VR. UNIT</t>
        </is>
      </c>
      <c r="F100" s="431" t="inlineStr">
        <is>
          <t>VR. TOTAL</t>
        </is>
      </c>
    </row>
    <row r="101">
      <c r="A101" s="432" t="inlineStr">
        <is>
          <t>000999</t>
        </is>
      </c>
      <c r="B101" s="432" t="inlineStr">
        <is>
          <t>BOM.SUM. 1 HP</t>
        </is>
      </c>
      <c r="C101" s="433" t="inlineStr">
        <is>
          <t>UND</t>
        </is>
      </c>
      <c r="D101" s="434" t="n">
        <v>1</v>
      </c>
      <c r="E101" s="434" t="n">
        <v>2593766</v>
      </c>
      <c r="F101" s="434" t="n">
        <v>2593766</v>
      </c>
    </row>
    <row r="102">
      <c r="A102" s="432" t="inlineStr">
        <is>
          <t>MOIE01</t>
        </is>
      </c>
      <c r="B102" s="432" t="inlineStr">
        <is>
          <t>MANO OBRA ELECTRICAS1 AYUDANTE-1 OFI</t>
        </is>
      </c>
      <c r="C102" s="433" t="inlineStr">
        <is>
          <t>HC</t>
        </is>
      </c>
      <c r="D102" s="434" t="n">
        <v>2.5</v>
      </c>
      <c r="E102" s="434" t="n">
        <v>33455</v>
      </c>
      <c r="F102" s="434" t="n">
        <v>83637.5</v>
      </c>
    </row>
    <row r="103">
      <c r="A103" s="432" t="inlineStr">
        <is>
          <t>MOIS01</t>
        </is>
      </c>
      <c r="B103" s="432" t="inlineStr">
        <is>
          <t>MANO OBRA HIDROSANIT.1 AYUDANTE-1 OFI</t>
        </is>
      </c>
      <c r="C103" s="433" t="inlineStr">
        <is>
          <t>HC</t>
        </is>
      </c>
      <c r="D103" s="434" t="n">
        <v>3</v>
      </c>
      <c r="E103" s="434" t="n">
        <v>25391</v>
      </c>
      <c r="F103" s="434" t="n">
        <v>76173</v>
      </c>
    </row>
    <row r="104">
      <c r="A104" s="432" t="inlineStr">
        <is>
          <t>MQ0301</t>
        </is>
      </c>
      <c r="B104" s="432" t="inlineStr">
        <is>
          <t>HERRAMIENTA MENOR</t>
        </is>
      </c>
      <c r="C104" s="433" t="inlineStr">
        <is>
          <t>GLB</t>
        </is>
      </c>
      <c r="D104" s="434" t="n">
        <v>3</v>
      </c>
      <c r="E104" s="434" t="n">
        <v>1600</v>
      </c>
      <c r="F104" s="434" t="n">
        <v>4800</v>
      </c>
    </row>
    <row r="105">
      <c r="A105" s="435" t="inlineStr">
        <is>
          <t>SUBTOTAL 03-02-09:</t>
        </is>
      </c>
      <c r="F105" s="436" t="n">
        <v>2758376.5</v>
      </c>
    </row>
    <row r="107" ht="15" customHeight="1" thickBot="1">
      <c r="A107" s="430" t="inlineStr">
        <is>
          <t>03-05-01 - ARRANCADOR VOL-C10 230 40-50AMP</t>
        </is>
      </c>
      <c r="B107" s="430" t="n"/>
      <c r="C107" s="430" t="n"/>
      <c r="D107" s="430" t="n"/>
      <c r="E107" s="430" t="n"/>
      <c r="F107" s="430" t="n"/>
    </row>
    <row r="108" ht="15" customHeight="1" thickTop="1">
      <c r="A108" s="431" t="inlineStr">
        <is>
          <t>CÓDIGO</t>
        </is>
      </c>
      <c r="B108" s="431" t="inlineStr">
        <is>
          <t>DESCRIPCIÓN</t>
        </is>
      </c>
      <c r="C108" s="431" t="inlineStr">
        <is>
          <t>UND</t>
        </is>
      </c>
      <c r="D108" s="431" t="inlineStr">
        <is>
          <t>CANT.</t>
        </is>
      </c>
      <c r="E108" s="431" t="inlineStr">
        <is>
          <t>VR. UNIT</t>
        </is>
      </c>
      <c r="F108" s="431" t="inlineStr">
        <is>
          <t>VR. TOTAL</t>
        </is>
      </c>
    </row>
    <row r="109">
      <c r="A109" s="432" t="inlineStr">
        <is>
          <t>005565</t>
        </is>
      </c>
      <c r="B109" s="432" t="inlineStr">
        <is>
          <t>ARR.230V 40-50AMP</t>
        </is>
      </c>
      <c r="C109" s="433" t="inlineStr">
        <is>
          <t>UND</t>
        </is>
      </c>
      <c r="D109" s="434" t="n">
        <v>1</v>
      </c>
      <c r="E109" s="434" t="n">
        <v>1087500</v>
      </c>
      <c r="F109" s="434" t="n">
        <v>1087500</v>
      </c>
    </row>
    <row r="110">
      <c r="A110" s="432" t="inlineStr">
        <is>
          <t>MOIE01</t>
        </is>
      </c>
      <c r="B110" s="432" t="inlineStr">
        <is>
          <t>MANO OBRA ELECTRICAS1 AYUDANTE-1 OFI</t>
        </is>
      </c>
      <c r="C110" s="433" t="inlineStr">
        <is>
          <t>HC</t>
        </is>
      </c>
      <c r="D110" s="434" t="n">
        <v>0.5</v>
      </c>
      <c r="E110" s="434" t="n">
        <v>33455</v>
      </c>
      <c r="F110" s="434" t="n">
        <v>16727.5</v>
      </c>
    </row>
    <row r="111">
      <c r="A111" s="432" t="inlineStr">
        <is>
          <t>MQ0301</t>
        </is>
      </c>
      <c r="B111" s="432" t="inlineStr">
        <is>
          <t>HERRAMIENTA MENOR</t>
        </is>
      </c>
      <c r="C111" s="433" t="inlineStr">
        <is>
          <t>GLB</t>
        </is>
      </c>
      <c r="D111" s="434" t="n">
        <v>2</v>
      </c>
      <c r="E111" s="434" t="n">
        <v>1600</v>
      </c>
      <c r="F111" s="434" t="n">
        <v>3200</v>
      </c>
    </row>
    <row r="112">
      <c r="A112" s="435" t="inlineStr">
        <is>
          <t>SUBTOTAL 03-05-01:</t>
        </is>
      </c>
      <c r="F112" s="436" t="n">
        <v>1107427.5</v>
      </c>
    </row>
    <row r="114" ht="15" customHeight="1" thickBot="1"/>
    <row r="115" ht="15" customHeight="1" thickTop="1"/>
    <row r="116" ht="15" customHeight="1" thickBot="1"/>
    <row r="117" ht="15" customHeight="1" thickTop="1"/>
    <row r="132" ht="15" customHeight="1" thickBot="1"/>
    <row r="133" ht="15" customHeight="1" thickTop="1"/>
    <row r="139" ht="15" customHeight="1" thickBot="1"/>
    <row r="140" ht="15" customHeight="1" thickTop="1"/>
    <row r="141" ht="15" customHeight="1" thickBot="1"/>
    <row r="142" ht="15" customHeight="1" thickTop="1"/>
    <row r="157" ht="15" customHeight="1" thickBot="1"/>
    <row r="158" ht="15" customHeight="1" thickTop="1"/>
    <row r="164" ht="15" customHeight="1" thickBot="1"/>
    <row r="165" ht="15" customHeight="1" thickTop="1"/>
    <row r="166" ht="15" customHeight="1" thickBot="1"/>
    <row r="167" ht="15" customHeight="1" thickTop="1"/>
    <row r="183" ht="15" customHeight="1" thickBot="1"/>
    <row r="184" ht="15" customHeight="1" thickTop="1"/>
  </sheetData>
  <mergeCells count="42">
    <mergeCell ref="A16:F16"/>
    <mergeCell ref="A99:F99"/>
    <mergeCell ref="A46:F46"/>
    <mergeCell ref="A37:F37"/>
    <mergeCell ref="B4:D5"/>
    <mergeCell ref="E5:F5"/>
    <mergeCell ref="A7:D8"/>
    <mergeCell ref="A3:F3"/>
    <mergeCell ref="A55:F55"/>
    <mergeCell ref="D1:F2"/>
    <mergeCell ref="A2:F2"/>
    <mergeCell ref="A1:C2"/>
    <mergeCell ref="A7:E7"/>
    <mergeCell ref="A23:F23"/>
    <mergeCell ref="A89:E89"/>
    <mergeCell ref="A91:D92"/>
    <mergeCell ref="A80:E80"/>
    <mergeCell ref="A91:F91"/>
    <mergeCell ref="A21:E21"/>
    <mergeCell ref="A105:E105"/>
    <mergeCell ref="A4:A5"/>
    <mergeCell ref="A9:F9"/>
    <mergeCell ref="A71:E71"/>
    <mergeCell ref="A44:E44"/>
    <mergeCell ref="A14:E14"/>
    <mergeCell ref="A30:F30"/>
    <mergeCell ref="A97:E97"/>
    <mergeCell ref="A64:F64"/>
    <mergeCell ref="A73:F73"/>
    <mergeCell ref="A53:E53"/>
    <mergeCell ref="A35:E35"/>
    <mergeCell ref="A82:F82"/>
    <mergeCell ref="A62:E62"/>
    <mergeCell ref="A142:D143"/>
    <mergeCell ref="A107:F107"/>
    <mergeCell ref="A38:D39"/>
    <mergeCell ref="A167:D168"/>
    <mergeCell ref="A28:E28"/>
    <mergeCell ref="A112:E112"/>
    <mergeCell ref="A6:F6"/>
    <mergeCell ref="A117:D118"/>
    <mergeCell ref="A67:D68"/>
  </mergeCells>
  <conditionalFormatting sqref="A4">
    <cfRule type="cellIs" priority="1" operator="equal" dxfId="0" stopIfTrue="1">
      <formula>"ESCRIBA AQUÍ EL NOMBRE DE LA OBRA"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71"/>
  <sheetViews>
    <sheetView workbookViewId="0">
      <selection activeCell="F8" sqref="F8"/>
    </sheetView>
  </sheetViews>
  <sheetFormatPr baseColWidth="10" defaultRowHeight="14.4"/>
  <cols>
    <col width="36.33203125" customWidth="1" min="1" max="1"/>
    <col width="18.77734375" customWidth="1" min="6" max="6"/>
  </cols>
  <sheetData>
    <row r="1" ht="14.4" customHeight="1">
      <c r="A1" s="437" t="inlineStr">
        <is>
          <t>NOMBRE DE LA EMPRESA</t>
        </is>
      </c>
      <c r="B1" s="357" t="n"/>
      <c r="C1" s="4" t="inlineStr">
        <is>
          <t>LOGO DE LA EMPRESA</t>
        </is>
      </c>
      <c r="D1" s="356" t="n"/>
      <c r="E1" s="357" t="n"/>
    </row>
    <row r="2" ht="30.6" customHeight="1">
      <c r="A2">
        <f>== 02-06-04 ===</f>
        <v/>
      </c>
    </row>
    <row r="3">
      <c r="A3" t="inlineStr">
        <is>
          <t>000507</t>
        </is>
      </c>
      <c r="B3" t="inlineStr">
        <is>
          <t>"VAL CHAPAL Q=4.1LT/S D10"</t>
        </is>
      </c>
      <c r="C3" t="inlineStr">
        <is>
          <t>UND</t>
        </is>
      </c>
      <c r="D3" t="n">
        <v>1</v>
      </c>
      <c r="E3" t="n">
        <v>0</v>
      </c>
      <c r="F3" t="n">
        <v>2217920</v>
      </c>
      <c r="G3" t="n">
        <v>2217920</v>
      </c>
    </row>
    <row r="4" ht="14.4" customHeight="1">
      <c r="A4" t="inlineStr">
        <is>
          <t>MOAG02</t>
        </is>
      </c>
      <c r="B4" t="inlineStr">
        <is>
          <t>MANO OBRA ALBANILERIA2 AYUDANTE</t>
        </is>
      </c>
      <c r="C4" t="inlineStr">
        <is>
          <t>HC</t>
        </is>
      </c>
      <c r="D4" t="n">
        <v>0.5</v>
      </c>
      <c r="E4" t="n">
        <v>0</v>
      </c>
      <c r="F4" t="n">
        <v>17897</v>
      </c>
      <c r="G4" t="n">
        <v>8949</v>
      </c>
    </row>
    <row r="5">
      <c r="A5" t="inlineStr">
        <is>
          <t>MOIS01</t>
        </is>
      </c>
      <c r="B5" t="inlineStr">
        <is>
          <t>MANO OBRA HIDROSANIT.1 AYUDANTE-1 OFI</t>
        </is>
      </c>
      <c r="C5" t="inlineStr">
        <is>
          <t>HC</t>
        </is>
      </c>
      <c r="D5" t="n">
        <v>0.52</v>
      </c>
      <c r="E5" t="n">
        <v>0</v>
      </c>
      <c r="F5" t="n">
        <v>25391</v>
      </c>
      <c r="G5" t="n">
        <v>13203</v>
      </c>
    </row>
    <row r="6">
      <c r="A6">
        <f>== 02-06-05 ===</f>
        <v/>
      </c>
    </row>
    <row r="7">
      <c r="A7" t="inlineStr">
        <is>
          <t>000508</t>
        </is>
      </c>
      <c r="B7" t="inlineStr">
        <is>
          <t>"VAL CHAPALETA Q4.1LT D12"</t>
        </is>
      </c>
      <c r="C7" t="inlineStr">
        <is>
          <t>UND</t>
        </is>
      </c>
      <c r="D7" t="n">
        <v>1</v>
      </c>
      <c r="E7" t="n">
        <v>0</v>
      </c>
      <c r="F7" t="n">
        <v>2188487</v>
      </c>
      <c r="G7" t="n">
        <v>2188487</v>
      </c>
    </row>
    <row r="8">
      <c r="A8" t="inlineStr">
        <is>
          <t>MOAG02</t>
        </is>
      </c>
      <c r="B8" t="inlineStr">
        <is>
          <t>MANO OBRA ALBANILERIA2 AYUDANTE</t>
        </is>
      </c>
      <c r="C8" t="inlineStr">
        <is>
          <t>HC</t>
        </is>
      </c>
      <c r="D8" t="n">
        <v>0.57</v>
      </c>
      <c r="E8" t="n">
        <v>0</v>
      </c>
      <c r="F8" t="n">
        <v>17897</v>
      </c>
      <c r="G8" t="n">
        <v>10201</v>
      </c>
    </row>
    <row r="9" ht="16.8" customHeight="1">
      <c r="A9" t="inlineStr">
        <is>
          <t>MOIS01</t>
        </is>
      </c>
      <c r="B9" t="inlineStr">
        <is>
          <t>MANO OBRA HIDROSANIT.1 AYUDANTE-1 OFI</t>
        </is>
      </c>
      <c r="C9" t="inlineStr">
        <is>
          <t>HC</t>
        </is>
      </c>
      <c r="D9" t="n">
        <v>0.57</v>
      </c>
      <c r="E9" t="n">
        <v>0</v>
      </c>
      <c r="F9" t="n">
        <v>25391</v>
      </c>
      <c r="G9" t="n">
        <v>14473</v>
      </c>
    </row>
    <row r="10">
      <c r="A10">
        <f>== 03-01-08 ===</f>
        <v/>
      </c>
    </row>
    <row r="11">
      <c r="A11" t="inlineStr">
        <is>
          <t>004887</t>
        </is>
      </c>
      <c r="B11" t="inlineStr">
        <is>
          <t>MOTOR EL.100HP 3600RPM BOM</t>
        </is>
      </c>
      <c r="C11" t="inlineStr">
        <is>
          <t>UND</t>
        </is>
      </c>
      <c r="D11" t="n">
        <v>1</v>
      </c>
      <c r="E11" t="n">
        <v>0</v>
      </c>
      <c r="F11" t="n">
        <v>11024350</v>
      </c>
      <c r="G11" t="n">
        <v>11024350</v>
      </c>
    </row>
    <row r="12">
      <c r="A12" t="inlineStr">
        <is>
          <t>MOIS01</t>
        </is>
      </c>
      <c r="B12" t="inlineStr">
        <is>
          <t>MANO OBRA HIDROSANIT.1 AYUDANTE-1 OFI</t>
        </is>
      </c>
      <c r="C12" t="inlineStr">
        <is>
          <t>HC</t>
        </is>
      </c>
      <c r="D12" t="n">
        <v>5.5</v>
      </c>
      <c r="E12" t="n">
        <v>0</v>
      </c>
      <c r="F12" t="n">
        <v>25391</v>
      </c>
      <c r="G12" t="n">
        <v>139651</v>
      </c>
    </row>
    <row r="13">
      <c r="A13" t="inlineStr">
        <is>
          <t>MQ0301</t>
        </is>
      </c>
      <c r="B13" t="inlineStr">
        <is>
          <t>HERRAMIENTA MENOR</t>
        </is>
      </c>
      <c r="C13" t="inlineStr">
        <is>
          <t>GLB</t>
        </is>
      </c>
      <c r="D13" t="n">
        <v>1.9</v>
      </c>
      <c r="E13" t="n">
        <v>0</v>
      </c>
      <c r="F13" t="n">
        <v>1600</v>
      </c>
      <c r="G13" t="n">
        <v>3040</v>
      </c>
    </row>
    <row r="14">
      <c r="A14">
        <f>== 03-01-09 ===</f>
        <v/>
      </c>
    </row>
    <row r="15">
      <c r="A15" t="inlineStr">
        <is>
          <t>004890</t>
        </is>
      </c>
      <c r="B15" t="inlineStr">
        <is>
          <t>MOTOR EL.BOMB 150HP</t>
        </is>
      </c>
      <c r="C15" t="inlineStr">
        <is>
          <t>UND</t>
        </is>
      </c>
      <c r="D15" t="n">
        <v>1</v>
      </c>
      <c r="E15" t="n">
        <v>0</v>
      </c>
      <c r="F15" t="n">
        <v>17297050</v>
      </c>
      <c r="G15" t="n">
        <v>17297050</v>
      </c>
    </row>
    <row r="16">
      <c r="A16" t="inlineStr">
        <is>
          <t>MOIS01</t>
        </is>
      </c>
      <c r="B16" t="inlineStr">
        <is>
          <t>MANO OBRA HIDROSANIT.1 AYUDANTE-1 OFI</t>
        </is>
      </c>
      <c r="C16" t="inlineStr">
        <is>
          <t>HC</t>
        </is>
      </c>
      <c r="D16" t="n">
        <v>5.5</v>
      </c>
      <c r="E16" t="n">
        <v>0</v>
      </c>
      <c r="F16" t="n">
        <v>25391</v>
      </c>
      <c r="G16" t="n">
        <v>139651</v>
      </c>
    </row>
    <row r="17">
      <c r="A17" t="inlineStr">
        <is>
          <t>MQ0301</t>
        </is>
      </c>
      <c r="B17" t="inlineStr">
        <is>
          <t>HERRAMIENTA MENOR</t>
        </is>
      </c>
      <c r="C17" t="inlineStr">
        <is>
          <t>GLB</t>
        </is>
      </c>
      <c r="D17" t="n">
        <v>3</v>
      </c>
      <c r="E17" t="n">
        <v>0</v>
      </c>
      <c r="F17" t="n">
        <v>1600</v>
      </c>
      <c r="G17" t="n">
        <v>4800</v>
      </c>
    </row>
    <row r="18">
      <c r="A18">
        <f>== 03-01-10 ===</f>
        <v/>
      </c>
    </row>
    <row r="19">
      <c r="A19" t="inlineStr">
        <is>
          <t>004891</t>
        </is>
      </c>
      <c r="B19" t="inlineStr">
        <is>
          <t>MOTOR EL.BOMB 30HP</t>
        </is>
      </c>
      <c r="C19" t="inlineStr">
        <is>
          <t>UND</t>
        </is>
      </c>
      <c r="D19" t="n">
        <v>1</v>
      </c>
      <c r="E19" t="n">
        <v>0</v>
      </c>
      <c r="F19" t="n">
        <v>3836700</v>
      </c>
      <c r="G19" t="n">
        <v>3836700</v>
      </c>
    </row>
    <row r="20">
      <c r="A20" t="inlineStr">
        <is>
          <t>MOIS01</t>
        </is>
      </c>
      <c r="B20" t="inlineStr">
        <is>
          <t>MANO OBRA HIDROSANIT.1 AYUDANTE-1 OFI</t>
        </is>
      </c>
      <c r="C20" t="inlineStr">
        <is>
          <t>HC</t>
        </is>
      </c>
      <c r="D20" t="n">
        <v>4</v>
      </c>
      <c r="E20" t="n">
        <v>0</v>
      </c>
      <c r="F20" t="n">
        <v>25391</v>
      </c>
      <c r="G20" t="n">
        <v>101564</v>
      </c>
    </row>
    <row r="21">
      <c r="A21" t="inlineStr">
        <is>
          <t>MQ0301</t>
        </is>
      </c>
      <c r="B21" t="inlineStr">
        <is>
          <t>HERRAMIENTA MENOR</t>
        </is>
      </c>
      <c r="C21" t="inlineStr">
        <is>
          <t>GLB</t>
        </is>
      </c>
      <c r="D21" t="n">
        <v>3</v>
      </c>
      <c r="E21" t="n">
        <v>0</v>
      </c>
      <c r="F21" t="n">
        <v>1600</v>
      </c>
      <c r="G21" t="n">
        <v>4800</v>
      </c>
    </row>
    <row r="22">
      <c r="A22">
        <f>== 03-02-01 ===</f>
        <v/>
      </c>
    </row>
    <row r="23">
      <c r="A23" t="inlineStr">
        <is>
          <t>004868</t>
        </is>
      </c>
      <c r="B23" t="inlineStr">
        <is>
          <t>"BOM.SUM. 3 HP LAPIC 4"</t>
        </is>
      </c>
      <c r="C23" t="inlineStr">
        <is>
          <t>UND</t>
        </is>
      </c>
      <c r="D23" t="n">
        <v>1</v>
      </c>
      <c r="E23" t="n">
        <v>0</v>
      </c>
      <c r="F23" t="n">
        <v>4611000</v>
      </c>
      <c r="G23" t="n">
        <v>4611000</v>
      </c>
    </row>
    <row r="24">
      <c r="A24" t="inlineStr">
        <is>
          <t>MOIE01</t>
        </is>
      </c>
      <c r="B24" t="inlineStr">
        <is>
          <t>MANO OBRA ELECTRICAS1 AYUDANTE-1 OFI</t>
        </is>
      </c>
      <c r="C24" t="inlineStr">
        <is>
          <t>HC</t>
        </is>
      </c>
      <c r="D24" t="n">
        <v>1</v>
      </c>
      <c r="E24" t="n">
        <v>0</v>
      </c>
      <c r="F24" t="n">
        <v>33455</v>
      </c>
      <c r="G24" t="n">
        <v>33455</v>
      </c>
    </row>
    <row r="25">
      <c r="A25" t="inlineStr">
        <is>
          <t>MOIS01</t>
        </is>
      </c>
      <c r="B25" t="inlineStr">
        <is>
          <t>MANO OBRA HIDROSANIT.1 AYUDANTE-1 OFI</t>
        </is>
      </c>
      <c r="C25" t="inlineStr">
        <is>
          <t>HC</t>
        </is>
      </c>
      <c r="D25" t="n">
        <v>2</v>
      </c>
      <c r="E25" t="n">
        <v>0</v>
      </c>
      <c r="F25" t="n">
        <v>25391</v>
      </c>
      <c r="G25" t="n">
        <v>50782</v>
      </c>
    </row>
    <row r="26">
      <c r="A26" t="inlineStr">
        <is>
          <t>MQ0212</t>
        </is>
      </c>
      <c r="B26" t="inlineStr">
        <is>
          <t>CARRO GRUA 5 TONELADAS</t>
        </is>
      </c>
      <c r="C26" t="inlineStr">
        <is>
          <t>HRS</t>
        </is>
      </c>
      <c r="D26" t="n">
        <v>2</v>
      </c>
      <c r="E26" t="n">
        <v>0</v>
      </c>
      <c r="F26" t="n">
        <v>51000</v>
      </c>
      <c r="G26" t="n">
        <v>102000</v>
      </c>
    </row>
    <row r="27">
      <c r="A27" t="inlineStr">
        <is>
          <t>MQ0301</t>
        </is>
      </c>
      <c r="B27" t="inlineStr">
        <is>
          <t>HERRAMIENTA MENOR</t>
        </is>
      </c>
      <c r="C27" t="inlineStr">
        <is>
          <t>GLB</t>
        </is>
      </c>
      <c r="D27" t="n">
        <v>3</v>
      </c>
      <c r="E27" t="n">
        <v>0</v>
      </c>
      <c r="F27" t="n">
        <v>1600</v>
      </c>
      <c r="G27" t="n">
        <v>4800</v>
      </c>
    </row>
    <row r="28">
      <c r="A28">
        <f>== 03-02-02 ===</f>
        <v/>
      </c>
    </row>
    <row r="29">
      <c r="A29" t="inlineStr">
        <is>
          <t>004857</t>
        </is>
      </c>
      <c r="B29" t="inlineStr">
        <is>
          <t>"BOM.SUM. 15 HP LAPIC 6"</t>
        </is>
      </c>
      <c r="C29" t="inlineStr">
        <is>
          <t>UND</t>
        </is>
      </c>
      <c r="D29" t="n">
        <v>1</v>
      </c>
      <c r="E29" t="n">
        <v>0</v>
      </c>
      <c r="F29" t="n">
        <v>11008400</v>
      </c>
      <c r="G29" t="n">
        <v>11008400</v>
      </c>
    </row>
    <row r="30">
      <c r="A30" t="inlineStr">
        <is>
          <t>MOIE01</t>
        </is>
      </c>
      <c r="B30" t="inlineStr">
        <is>
          <t>MANO OBRA ELECTRICAS1 AYUDANTE-1 OFI</t>
        </is>
      </c>
      <c r="C30" t="inlineStr">
        <is>
          <t>HC</t>
        </is>
      </c>
      <c r="D30" t="n">
        <v>2.5</v>
      </c>
      <c r="E30" t="n">
        <v>0</v>
      </c>
      <c r="F30" t="n">
        <v>33455</v>
      </c>
      <c r="G30" t="n">
        <v>83638</v>
      </c>
    </row>
    <row r="31">
      <c r="A31" t="inlineStr">
        <is>
          <t>MOIS01</t>
        </is>
      </c>
      <c r="B31" t="inlineStr">
        <is>
          <t>MANO OBRA HIDROSANIT.1 AYUDANTE-1 OFI</t>
        </is>
      </c>
      <c r="C31" t="inlineStr">
        <is>
          <t>HC</t>
        </is>
      </c>
      <c r="D31" t="n">
        <v>3</v>
      </c>
      <c r="E31" t="n">
        <v>0</v>
      </c>
      <c r="F31" t="n">
        <v>25391</v>
      </c>
      <c r="G31" t="n">
        <v>76173</v>
      </c>
    </row>
    <row r="32">
      <c r="A32" t="inlineStr">
        <is>
          <t>MQ0212</t>
        </is>
      </c>
      <c r="B32" t="inlineStr">
        <is>
          <t>CARRO GRUA 5 TONELADAS</t>
        </is>
      </c>
      <c r="C32" t="inlineStr">
        <is>
          <t>HRS</t>
        </is>
      </c>
      <c r="D32" t="n">
        <v>3.5</v>
      </c>
      <c r="E32" t="n">
        <v>0</v>
      </c>
      <c r="F32" t="n">
        <v>51000</v>
      </c>
      <c r="G32" t="n">
        <v>178500</v>
      </c>
    </row>
    <row r="33">
      <c r="A33" t="inlineStr">
        <is>
          <t>MQ0301</t>
        </is>
      </c>
      <c r="B33" t="inlineStr">
        <is>
          <t>HERRAMIENTA MENOR</t>
        </is>
      </c>
      <c r="C33" t="inlineStr">
        <is>
          <t>GLB</t>
        </is>
      </c>
      <c r="D33" t="n">
        <v>3</v>
      </c>
      <c r="E33" t="n">
        <v>0</v>
      </c>
      <c r="F33" t="n">
        <v>1600</v>
      </c>
      <c r="G33" t="n">
        <v>4800</v>
      </c>
    </row>
    <row r="34">
      <c r="A34">
        <f>== 03-02-04 ===</f>
        <v/>
      </c>
    </row>
    <row r="35">
      <c r="A35" t="inlineStr">
        <is>
          <t>005167</t>
        </is>
      </c>
      <c r="B35" t="inlineStr">
        <is>
          <t>"BOM.SUM. 25 HP LAPIC 6"</t>
        </is>
      </c>
      <c r="C35" t="inlineStr">
        <is>
          <t>UND</t>
        </is>
      </c>
      <c r="D35" t="n">
        <v>1</v>
      </c>
      <c r="E35" t="n">
        <v>0</v>
      </c>
      <c r="F35" t="n">
        <v>15947100</v>
      </c>
      <c r="G35" t="n">
        <v>15947100</v>
      </c>
    </row>
    <row r="36">
      <c r="A36" t="inlineStr">
        <is>
          <t>MOIE01</t>
        </is>
      </c>
      <c r="B36" t="inlineStr">
        <is>
          <t>MANO OBRA ELECTRICAS1 AYUDANTE-1 OFI</t>
        </is>
      </c>
      <c r="C36" t="inlineStr">
        <is>
          <t>HC</t>
        </is>
      </c>
      <c r="D36" t="n">
        <v>3.5</v>
      </c>
      <c r="E36" t="n">
        <v>0</v>
      </c>
      <c r="F36" t="n">
        <v>33455</v>
      </c>
      <c r="G36" t="n">
        <v>117093</v>
      </c>
    </row>
    <row r="37">
      <c r="A37" t="inlineStr">
        <is>
          <t>MOIS01</t>
        </is>
      </c>
      <c r="B37" t="inlineStr">
        <is>
          <t>MANO OBRA HIDROSANIT.1 AYUDANTE-1 OFI</t>
        </is>
      </c>
      <c r="C37" t="inlineStr">
        <is>
          <t>HC</t>
        </is>
      </c>
      <c r="D37" t="n">
        <v>5</v>
      </c>
      <c r="E37" t="n">
        <v>0</v>
      </c>
      <c r="F37" t="n">
        <v>25391</v>
      </c>
      <c r="G37" t="n">
        <v>126955</v>
      </c>
    </row>
    <row r="38">
      <c r="A38" t="inlineStr">
        <is>
          <t>MQ0212</t>
        </is>
      </c>
      <c r="B38" t="inlineStr">
        <is>
          <t>CARRO GRUA 5 TONELADAS</t>
        </is>
      </c>
      <c r="C38" t="inlineStr">
        <is>
          <t>HRS</t>
        </is>
      </c>
      <c r="D38" t="n">
        <v>4.5</v>
      </c>
      <c r="E38" t="n">
        <v>0</v>
      </c>
      <c r="F38" t="n">
        <v>51000</v>
      </c>
      <c r="G38" t="n">
        <v>229500</v>
      </c>
    </row>
    <row r="39">
      <c r="A39" t="inlineStr">
        <is>
          <t>MQ0301</t>
        </is>
      </c>
      <c r="B39" t="inlineStr">
        <is>
          <t>HERRAMIENTA MENOR</t>
        </is>
      </c>
      <c r="C39" t="inlineStr">
        <is>
          <t>GLB</t>
        </is>
      </c>
      <c r="D39" t="n">
        <v>3.5</v>
      </c>
      <c r="E39" t="n">
        <v>0</v>
      </c>
      <c r="F39" t="n">
        <v>1600</v>
      </c>
      <c r="G39" t="n">
        <v>5600</v>
      </c>
    </row>
    <row r="40">
      <c r="A40">
        <f>== 03-02-05 ===</f>
        <v/>
      </c>
    </row>
    <row r="41">
      <c r="A41" t="inlineStr">
        <is>
          <t>004864</t>
        </is>
      </c>
      <c r="B41" t="inlineStr">
        <is>
          <t>"BOM.SUM. 30 HP LAPIC. 6"</t>
        </is>
      </c>
      <c r="C41" t="inlineStr">
        <is>
          <t>UND</t>
        </is>
      </c>
      <c r="D41" t="n">
        <v>1</v>
      </c>
      <c r="E41" t="n">
        <v>0</v>
      </c>
      <c r="F41" t="n">
        <v>23187500</v>
      </c>
      <c r="G41" t="n">
        <v>23187500</v>
      </c>
    </row>
    <row r="42">
      <c r="A42" t="inlineStr">
        <is>
          <t>MOIE01</t>
        </is>
      </c>
      <c r="B42" t="inlineStr">
        <is>
          <t>MANO OBRA ELECTRICAS1 AYUDANTE-1 OFI</t>
        </is>
      </c>
      <c r="C42" t="inlineStr">
        <is>
          <t>HC</t>
        </is>
      </c>
      <c r="D42" t="n">
        <v>3</v>
      </c>
      <c r="E42" t="n">
        <v>0</v>
      </c>
      <c r="F42" t="n">
        <v>33455</v>
      </c>
      <c r="G42" t="n">
        <v>100365</v>
      </c>
    </row>
    <row r="43">
      <c r="A43" t="inlineStr">
        <is>
          <t>MOIS01</t>
        </is>
      </c>
      <c r="B43" t="inlineStr">
        <is>
          <t>MANO OBRA HIDROSANIT.1 AYUDANTE-1 OFI</t>
        </is>
      </c>
      <c r="C43" t="inlineStr">
        <is>
          <t>HC</t>
        </is>
      </c>
      <c r="D43" t="n">
        <v>5</v>
      </c>
      <c r="E43" t="n">
        <v>0</v>
      </c>
      <c r="F43" t="n">
        <v>25391</v>
      </c>
      <c r="G43" t="n">
        <v>126955</v>
      </c>
    </row>
    <row r="44">
      <c r="A44" t="inlineStr">
        <is>
          <t>MQ0212</t>
        </is>
      </c>
      <c r="B44" t="inlineStr">
        <is>
          <t>CARRO GRUA 5 TONELADAS</t>
        </is>
      </c>
      <c r="C44" t="inlineStr">
        <is>
          <t>HRS</t>
        </is>
      </c>
      <c r="D44" t="n">
        <v>5.5</v>
      </c>
      <c r="E44" t="n">
        <v>0</v>
      </c>
      <c r="F44" t="n">
        <v>51000</v>
      </c>
      <c r="G44" t="n">
        <v>280500</v>
      </c>
    </row>
    <row r="45">
      <c r="A45" t="inlineStr">
        <is>
          <t>MQ0301</t>
        </is>
      </c>
      <c r="B45" t="inlineStr">
        <is>
          <t>HERRAMIENTA MENOR</t>
        </is>
      </c>
      <c r="C45" t="inlineStr">
        <is>
          <t>GLB</t>
        </is>
      </c>
      <c r="D45" t="n">
        <v>4</v>
      </c>
      <c r="E45" t="n">
        <v>0</v>
      </c>
      <c r="F45" t="n">
        <v>1600</v>
      </c>
      <c r="G45" t="n">
        <v>6400</v>
      </c>
    </row>
    <row r="46">
      <c r="A46">
        <f>== 03-02-06 ===</f>
        <v/>
      </c>
    </row>
    <row r="47">
      <c r="A47" t="inlineStr">
        <is>
          <t>004866</t>
        </is>
      </c>
      <c r="B47" t="inlineStr">
        <is>
          <t>"BOM.SUM. 40 HP LAPIC. 6"</t>
        </is>
      </c>
      <c r="C47" t="inlineStr">
        <is>
          <t>UND</t>
        </is>
      </c>
      <c r="D47" t="n">
        <v>1</v>
      </c>
      <c r="E47" t="n">
        <v>0</v>
      </c>
      <c r="F47" t="n">
        <v>25725000</v>
      </c>
      <c r="G47" t="n">
        <v>25725000</v>
      </c>
    </row>
    <row r="48">
      <c r="A48" t="inlineStr">
        <is>
          <t>MOIE01</t>
        </is>
      </c>
      <c r="B48" t="inlineStr">
        <is>
          <t>MANO OBRA ELECTRICAS1 AYUDANTE-1 OFI</t>
        </is>
      </c>
      <c r="C48" t="inlineStr">
        <is>
          <t>HC</t>
        </is>
      </c>
      <c r="D48" t="n">
        <v>3.5</v>
      </c>
      <c r="E48" t="n">
        <v>0</v>
      </c>
      <c r="F48" t="n">
        <v>33455</v>
      </c>
      <c r="G48" t="n">
        <v>117093</v>
      </c>
    </row>
    <row r="49">
      <c r="A49" t="inlineStr">
        <is>
          <t>MOIS01</t>
        </is>
      </c>
      <c r="B49" t="inlineStr">
        <is>
          <t>MANO OBRA HIDROSANIT.1 AYUDANTE-1 OFI</t>
        </is>
      </c>
      <c r="C49" t="inlineStr">
        <is>
          <t>HC</t>
        </is>
      </c>
      <c r="D49" t="n">
        <v>5</v>
      </c>
      <c r="E49" t="n">
        <v>0</v>
      </c>
      <c r="F49" t="n">
        <v>25391</v>
      </c>
      <c r="G49" t="n">
        <v>126955</v>
      </c>
    </row>
    <row r="50">
      <c r="A50" t="inlineStr">
        <is>
          <t>MQ0212</t>
        </is>
      </c>
      <c r="B50" t="inlineStr">
        <is>
          <t>CARRO GRUA 5 TONELADAS</t>
        </is>
      </c>
      <c r="C50" t="inlineStr">
        <is>
          <t>HRS</t>
        </is>
      </c>
      <c r="D50" t="n">
        <v>5.5</v>
      </c>
      <c r="E50" t="n">
        <v>0</v>
      </c>
      <c r="F50" t="n">
        <v>51000</v>
      </c>
      <c r="G50" t="n">
        <v>280500</v>
      </c>
    </row>
    <row r="51">
      <c r="A51" t="inlineStr">
        <is>
          <t>MQ0301</t>
        </is>
      </c>
      <c r="B51" t="inlineStr">
        <is>
          <t>HERRAMIENTA MENOR</t>
        </is>
      </c>
      <c r="C51" t="inlineStr">
        <is>
          <t>GLB</t>
        </is>
      </c>
      <c r="D51" t="n">
        <v>3.5</v>
      </c>
      <c r="E51" t="n">
        <v>0</v>
      </c>
      <c r="F51" t="n">
        <v>1600</v>
      </c>
      <c r="G51" t="n">
        <v>5600</v>
      </c>
    </row>
    <row r="52">
      <c r="A52">
        <f>== 03-02-07 ===</f>
        <v/>
      </c>
    </row>
    <row r="53">
      <c r="A53" t="inlineStr">
        <is>
          <t>004879</t>
        </is>
      </c>
      <c r="B53" t="inlineStr">
        <is>
          <t>"BOM.SUM. 50 HP LAPIC. 6"</t>
        </is>
      </c>
      <c r="C53" t="inlineStr">
        <is>
          <t>UND</t>
        </is>
      </c>
      <c r="D53" t="n">
        <v>1</v>
      </c>
      <c r="E53" t="n">
        <v>0</v>
      </c>
      <c r="F53" t="n">
        <v>30056250</v>
      </c>
      <c r="G53" t="n">
        <v>30056250</v>
      </c>
    </row>
    <row r="54">
      <c r="A54" t="inlineStr">
        <is>
          <t>MOIE01</t>
        </is>
      </c>
      <c r="B54" t="inlineStr">
        <is>
          <t>MANO OBRA ELECTRICAS1 AYUDANTE-1 OFI</t>
        </is>
      </c>
      <c r="C54" t="inlineStr">
        <is>
          <t>HC</t>
        </is>
      </c>
      <c r="D54" t="n">
        <v>4</v>
      </c>
      <c r="E54" t="n">
        <v>0</v>
      </c>
      <c r="F54" t="n">
        <v>33455</v>
      </c>
      <c r="G54" t="n">
        <v>133820</v>
      </c>
    </row>
    <row r="55">
      <c r="A55" t="inlineStr">
        <is>
          <t>MOIS01</t>
        </is>
      </c>
      <c r="B55" t="inlineStr">
        <is>
          <t>MANO OBRA HIDROSANIT.1 AYUDANTE-1 OFI</t>
        </is>
      </c>
      <c r="C55" t="inlineStr">
        <is>
          <t>HC</t>
        </is>
      </c>
      <c r="D55" t="n">
        <v>5</v>
      </c>
      <c r="E55" t="n">
        <v>0</v>
      </c>
      <c r="F55" t="n">
        <v>25391</v>
      </c>
      <c r="G55" t="n">
        <v>126955</v>
      </c>
    </row>
    <row r="56">
      <c r="A56" t="inlineStr">
        <is>
          <t>MQ0212</t>
        </is>
      </c>
      <c r="B56" t="inlineStr">
        <is>
          <t>CARRO GRUA 5 TONELADAS</t>
        </is>
      </c>
      <c r="C56" t="inlineStr">
        <is>
          <t>HRS</t>
        </is>
      </c>
      <c r="D56" t="n">
        <v>5</v>
      </c>
      <c r="E56" t="n">
        <v>0</v>
      </c>
      <c r="F56" t="n">
        <v>51000</v>
      </c>
      <c r="G56" t="n">
        <v>255000</v>
      </c>
    </row>
    <row r="57">
      <c r="A57" t="inlineStr">
        <is>
          <t>MQ0301</t>
        </is>
      </c>
      <c r="B57" t="inlineStr">
        <is>
          <t>HERRAMIENTA MENOR</t>
        </is>
      </c>
      <c r="C57" t="inlineStr">
        <is>
          <t>GLB</t>
        </is>
      </c>
      <c r="D57" t="n">
        <v>4</v>
      </c>
      <c r="E57" t="n">
        <v>0</v>
      </c>
      <c r="F57" t="n">
        <v>1600</v>
      </c>
      <c r="G57" t="n">
        <v>6400</v>
      </c>
    </row>
    <row r="58">
      <c r="A58">
        <f>== 03-02-08 ===</f>
        <v/>
      </c>
    </row>
    <row r="59">
      <c r="A59" t="inlineStr">
        <is>
          <t>004877</t>
        </is>
      </c>
      <c r="B59" t="inlineStr">
        <is>
          <t>"BOM.SUM. 60 HP LAPIC. 6"</t>
        </is>
      </c>
      <c r="C59" t="inlineStr">
        <is>
          <t>UND</t>
        </is>
      </c>
      <c r="D59" t="n">
        <v>1</v>
      </c>
      <c r="E59" t="n">
        <v>0</v>
      </c>
      <c r="F59" t="n">
        <v>37567250</v>
      </c>
      <c r="G59" t="n">
        <v>37567250</v>
      </c>
    </row>
    <row r="60">
      <c r="A60" t="inlineStr">
        <is>
          <t>MOIS01</t>
        </is>
      </c>
      <c r="B60" t="inlineStr">
        <is>
          <t>MANO OBRA HIDROSANIT.1 AYUDANTE-1 OFI</t>
        </is>
      </c>
      <c r="C60" t="inlineStr">
        <is>
          <t>HC</t>
        </is>
      </c>
      <c r="D60" t="n">
        <v>5</v>
      </c>
      <c r="E60" t="n">
        <v>0</v>
      </c>
      <c r="F60" t="n">
        <v>25391</v>
      </c>
      <c r="G60" t="n">
        <v>126955</v>
      </c>
    </row>
    <row r="61">
      <c r="A61" t="inlineStr">
        <is>
          <t>MQ0212</t>
        </is>
      </c>
      <c r="B61" t="inlineStr">
        <is>
          <t>CARRO GRUA 5 TONELADAS</t>
        </is>
      </c>
      <c r="C61" t="inlineStr">
        <is>
          <t>HRS</t>
        </is>
      </c>
      <c r="D61" t="n">
        <v>5</v>
      </c>
      <c r="E61" t="n">
        <v>0</v>
      </c>
      <c r="F61" t="n">
        <v>51000</v>
      </c>
      <c r="G61" t="n">
        <v>255000</v>
      </c>
    </row>
    <row r="62">
      <c r="A62" t="inlineStr">
        <is>
          <t>MQ0301</t>
        </is>
      </c>
      <c r="B62" t="inlineStr">
        <is>
          <t>HERRAMIENTA MENOR</t>
        </is>
      </c>
      <c r="C62" t="inlineStr">
        <is>
          <t>GLB</t>
        </is>
      </c>
      <c r="D62" t="n">
        <v>5</v>
      </c>
      <c r="E62" t="n">
        <v>0</v>
      </c>
      <c r="F62" t="n">
        <v>1600</v>
      </c>
      <c r="G62" t="n">
        <v>8000</v>
      </c>
    </row>
    <row r="63">
      <c r="A63">
        <f>== 03-02-09 ===</f>
        <v/>
      </c>
    </row>
    <row r="64">
      <c r="A64" t="inlineStr">
        <is>
          <t>000999</t>
        </is>
      </c>
      <c r="B64" t="inlineStr">
        <is>
          <t>BOM.SUM. 1 HP</t>
        </is>
      </c>
      <c r="C64" t="inlineStr">
        <is>
          <t>UND</t>
        </is>
      </c>
      <c r="D64" t="n">
        <v>1</v>
      </c>
      <c r="E64" t="n">
        <v>0</v>
      </c>
      <c r="F64" t="n">
        <v>2593766</v>
      </c>
      <c r="G64" t="n">
        <v>2593766</v>
      </c>
    </row>
    <row r="65">
      <c r="A65" t="inlineStr">
        <is>
          <t>MOIE01</t>
        </is>
      </c>
      <c r="B65" t="inlineStr">
        <is>
          <t>MANO OBRA ELECTRICAS1 AYUDANTE-1 OFI</t>
        </is>
      </c>
      <c r="C65" t="inlineStr">
        <is>
          <t>HC</t>
        </is>
      </c>
      <c r="D65" t="n">
        <v>2.5</v>
      </c>
      <c r="E65" t="n">
        <v>0</v>
      </c>
      <c r="F65" t="n">
        <v>33455</v>
      </c>
      <c r="G65" t="n">
        <v>83638</v>
      </c>
    </row>
    <row r="66">
      <c r="A66" t="inlineStr">
        <is>
          <t>MOIS01</t>
        </is>
      </c>
      <c r="B66" t="inlineStr">
        <is>
          <t>MANO OBRA HIDROSANIT.1 AYUDANTE-1 OFI</t>
        </is>
      </c>
      <c r="C66" t="inlineStr">
        <is>
          <t>HC</t>
        </is>
      </c>
      <c r="D66" t="n">
        <v>3</v>
      </c>
      <c r="E66" t="n">
        <v>0</v>
      </c>
      <c r="F66" t="n">
        <v>25391</v>
      </c>
      <c r="G66" t="n">
        <v>76173</v>
      </c>
    </row>
    <row r="67">
      <c r="A67" t="inlineStr">
        <is>
          <t>MQ0301</t>
        </is>
      </c>
      <c r="B67" t="inlineStr">
        <is>
          <t>HERRAMIENTA MENOR</t>
        </is>
      </c>
      <c r="C67" t="inlineStr">
        <is>
          <t>GLB</t>
        </is>
      </c>
      <c r="D67" t="n">
        <v>3</v>
      </c>
      <c r="E67" t="n">
        <v>0</v>
      </c>
      <c r="F67" t="n">
        <v>1600</v>
      </c>
      <c r="G67" t="n">
        <v>4800</v>
      </c>
    </row>
    <row r="68">
      <c r="A68">
        <f>== 03-05-01 ===</f>
        <v/>
      </c>
    </row>
    <row r="69">
      <c r="A69" t="inlineStr">
        <is>
          <t>005565</t>
        </is>
      </c>
      <c r="B69" t="inlineStr">
        <is>
          <t>ARR.230V 40-50AMP</t>
        </is>
      </c>
      <c r="C69" t="inlineStr">
        <is>
          <t>UND</t>
        </is>
      </c>
      <c r="D69" t="n">
        <v>1</v>
      </c>
      <c r="E69" t="n">
        <v>0</v>
      </c>
      <c r="F69" t="n">
        <v>1087500</v>
      </c>
      <c r="G69" t="n">
        <v>1087500</v>
      </c>
    </row>
    <row r="70">
      <c r="A70" t="inlineStr">
        <is>
          <t>MOIE01</t>
        </is>
      </c>
      <c r="B70" t="inlineStr">
        <is>
          <t>MANO OBRA ELECTRICAS1 AYUDANTE-1 OFI</t>
        </is>
      </c>
      <c r="C70" t="inlineStr">
        <is>
          <t>HC</t>
        </is>
      </c>
      <c r="D70" t="n">
        <v>0.5</v>
      </c>
      <c r="E70" t="n">
        <v>0</v>
      </c>
      <c r="F70" t="n">
        <v>33455</v>
      </c>
      <c r="G70" t="n">
        <v>16728</v>
      </c>
    </row>
    <row r="71">
      <c r="A71" t="inlineStr">
        <is>
          <t>MQ0301</t>
        </is>
      </c>
      <c r="B71" t="inlineStr">
        <is>
          <t>HERRAMIENTA MENOR</t>
        </is>
      </c>
      <c r="C71" t="inlineStr">
        <is>
          <t>GLB</t>
        </is>
      </c>
      <c r="D71" t="n">
        <v>2</v>
      </c>
      <c r="E71" t="n">
        <v>0</v>
      </c>
      <c r="F71" t="n">
        <v>1600</v>
      </c>
      <c r="G71" t="n">
        <v>3200</v>
      </c>
    </row>
    <row r="247" ht="16.8" customHeight="1"/>
    <row r="290" ht="16.8" customHeight="1"/>
  </sheetData>
  <mergeCells count="6">
    <mergeCell ref="A4:A5"/>
    <mergeCell ref="D5:E5"/>
    <mergeCell ref="A3:E3"/>
    <mergeCell ref="A1:B2"/>
    <mergeCell ref="C1:E2"/>
    <mergeCell ref="B4:C5"/>
  </mergeCells>
  <conditionalFormatting sqref="A4">
    <cfRule type="cellIs" priority="6" operator="equal" dxfId="0" stopIfTrue="1">
      <formula>"ESCRIBA AQUÍ EL NOMBRE DE LA OBRA"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Paulita</dc:creator>
  <dcterms:created xsi:type="dcterms:W3CDTF">2025-09-20T14:07:28Z</dcterms:created>
  <dcterms:modified xsi:type="dcterms:W3CDTF">2025-09-23T02:57:15Z</dcterms:modified>
  <cp:lastModifiedBy>Paulita</cp:lastModifiedBy>
</cp:coreProperties>
</file>