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ERTA ECONOMICA" sheetId="1" r:id="rId4"/>
    <sheet state="visible" name="Hoja1" sheetId="2" r:id="rId5"/>
  </sheets>
  <definedNames/>
  <calcPr/>
</workbook>
</file>

<file path=xl/sharedStrings.xml><?xml version="1.0" encoding="utf-8"?>
<sst xmlns="http://schemas.openxmlformats.org/spreadsheetml/2006/main" count="116" uniqueCount="60">
  <si>
    <t>OFERTA ECONOMICA</t>
  </si>
  <si>
    <r>
      <rPr>
        <rFont val="Arial"/>
        <b/>
        <color rgb="FF000000"/>
        <sz val="12.0"/>
      </rPr>
      <t>PROPONENTE:</t>
    </r>
    <r>
      <rPr>
        <rFont val="Arial"/>
        <b val="0"/>
        <color rgb="FF000000"/>
        <sz val="12.0"/>
      </rPr>
      <t xml:space="preserve"> </t>
    </r>
  </si>
  <si>
    <r>
      <rPr>
        <rFont val="Arial"/>
        <b/>
        <color rgb="FF000000"/>
        <sz val="12.0"/>
      </rPr>
      <t>Centro:</t>
    </r>
    <r>
      <rPr>
        <rFont val="Arial"/>
        <b val="0"/>
        <color rgb="FF000000"/>
        <sz val="12.0"/>
      </rPr>
      <t xml:space="preserve"> Centro de Gestión Tecnologica de Servicios.</t>
    </r>
  </si>
  <si>
    <r>
      <rPr>
        <rFont val="Arial"/>
        <b/>
        <color rgb="FF000000"/>
        <sz val="12.0"/>
      </rPr>
      <t>Dirección:</t>
    </r>
    <r>
      <rPr>
        <rFont val="Arial"/>
        <b val="0"/>
        <color rgb="FF000000"/>
        <sz val="12.0"/>
      </rPr>
      <t xml:space="preserve"> </t>
    </r>
  </si>
  <si>
    <r>
      <rPr>
        <rFont val="Arial"/>
        <b/>
        <color rgb="FF000000"/>
        <sz val="12.0"/>
      </rPr>
      <t>Elaboró:</t>
    </r>
    <r>
      <rPr>
        <rFont val="Arial"/>
        <b val="0"/>
        <color rgb="FF000000"/>
        <sz val="12.0"/>
      </rPr>
      <t xml:space="preserve">  </t>
    </r>
  </si>
  <si>
    <r>
      <rPr>
        <rFont val="Arial"/>
        <b/>
        <color rgb="FF000000"/>
        <sz val="12.0"/>
      </rPr>
      <t xml:space="preserve">Proyecto: </t>
    </r>
    <r>
      <rPr>
        <rFont val="Arial"/>
        <b val="0"/>
        <color rgb="FF000000"/>
        <sz val="12.0"/>
      </rPr>
      <t xml:space="preserve"> Mantenimientos Centro de Gestion Tecnologica y de Servicios CGTS </t>
    </r>
  </si>
  <si>
    <t>Contratar la adecuación estructural incluida cubierta del área de almacén de inventario para atender las querellas sindicales y del ministerio de trabajo para el sistema de seguridad y salud en el trabajo, (COMPLEJO SALOMIA)</t>
  </si>
  <si>
    <t>ITEM</t>
  </si>
  <si>
    <t>DESCRIPCIÓN</t>
  </si>
  <si>
    <t>UND.</t>
  </si>
  <si>
    <t>CANT.</t>
  </si>
  <si>
    <t>V/UNIT</t>
  </si>
  <si>
    <t xml:space="preserve"> V/TOTAL </t>
  </si>
  <si>
    <t>PRELIMINARES</t>
  </si>
  <si>
    <t>Localización y replanteo</t>
  </si>
  <si>
    <t>M2</t>
  </si>
  <si>
    <t xml:space="preserve">Suministro e instalación de cerramiento en polisombra verde con parales de madera h=2,10 metros. Incluye amarre en alambre negro. para delimitación, seguridad y limpieza de obra. </t>
  </si>
  <si>
    <t>ML</t>
  </si>
  <si>
    <t xml:space="preserve">Suministro e instalación de logos de seguridad industrial para la obra. </t>
  </si>
  <si>
    <t>UND</t>
  </si>
  <si>
    <t>Desmonte  de de cubierta existente en teja de asbesto-cemento, incluye el desmonte de la estructura metálica , los amarres, cerchas, correas y/o perfileria metálica.
Inclye andamios certificados, elementos de proteccion personal, y personal calificado para trabajo en alturas</t>
  </si>
  <si>
    <t>Desmonte cielo raso existente ( panel yeso, icopor), incluye el desmonte de la perfileria metálica.
Inclye andamios certificados, elementos de proteccion personal, y personal calificado para trabajo en alturas</t>
  </si>
  <si>
    <t>Desmonte de sistema eléctrico existente, incluye tubería, cableado y tableros, lamparas y demás accesorios.
Inclye andamios certificados, elementos de proteccion personal, y personal calificado para trabajo en alturas</t>
  </si>
  <si>
    <t>Campamento de obra de 18 m2. Inluye almacenamiento de materiales, equipos y/o herramientas de obra</t>
  </si>
  <si>
    <t>SUB-TOTAL</t>
  </si>
  <si>
    <t>CUBIERTAS</t>
  </si>
  <si>
    <t>Suministro e instalación de cubierta con teja tipo sándwich, inyectado en línea continua con espuma PIR de alta densidad (38kg/m3) e=30 mm, cara externa e interna en lámina galvanizada calibre 28 prepintada. Incluye: remates laterales para cubierta tipo sándwich con desarrollo no menor a 30 cm, caballete, gotero y elementos de fijación, sellantes y demás accesorios requeridos para garantizar la correcta instalación de la cubierta tipo sandwich.  el  transporte.
Inclye andamios certificados, elementos de proteccion personal, y personal calificado para trabajo en alturas</t>
  </si>
  <si>
    <t>Suministro e instalacion de estructura para cubierta en perfilería metálica, incluye suministro, montaje de perfiles, pintura anticorrosiva y de acabado. a una altura mínima de 3 metros sobre el
nivel del piso.
Inclye andamios certificados, elementos de proteccion personal, y personal calificado para trabajo en alturas.
Incluye las adecuaciones civiles requeridas para realizar el montaje de la estrcutura de la cubierta (demolicones, acarreos y disposicion de la demolicion. Incluye concretos y resanes necesrios para la correcta ejecucion de la instalacion de la estructura)</t>
  </si>
  <si>
    <t>Suministro e instalacion de canal para aguas lluvias en lamina galvanizada calibre. 20 con desarrollo mínimo de 1,00 m, pintada con pintura anticorrosiva . Incluye suministro, fabricacion, instalacion, sellantes, los soscos bajantes y las bajantes en tuberia de mín 4" a
nivel de anden.</t>
  </si>
  <si>
    <t>RED ELECTRICA, VOZ Y DATOS, ILUMINACION</t>
  </si>
  <si>
    <t xml:space="preserve">Suministro e instalación de punto eléctrico normal según norma NTC 2050. Incluye cable,  tubería MT con sus accesorios, Clavijas, Terminales y accesorios para conexiones en el tablero y  Planos eléctricos. Nota: Todos los elementos suministrados y la instalación debe cumplir con los requisitos normativos RETIE y RETILAP </t>
  </si>
  <si>
    <t>Suministro e instalación tableros de distribución requerido para  la red eléctrica nueva. Incluye todos  los breakers/ interruptores y accesorios.</t>
  </si>
  <si>
    <t>Suministro e instalación sistema de puesta a tierra para garantizar el correcto funcionamiento de la red eléctrica nueva</t>
  </si>
  <si>
    <t>Reinstalación de lamparas de emergencia</t>
  </si>
  <si>
    <t>Suministro e instalación interruptores doble</t>
  </si>
  <si>
    <t>Suministro e instalación toma gfci</t>
  </si>
  <si>
    <t>Suministro e instalación tomacorrientes Doble</t>
  </si>
  <si>
    <t>Suministro e instalación tomacorrientes Sencillo</t>
  </si>
  <si>
    <t>Suministro e Instalación de Luminarias led IP 65 2*18</t>
  </si>
  <si>
    <t>PINTURA</t>
  </si>
  <si>
    <t>Suministro y aplicación de pintura blanca vinilo tipo I, tres manos  para muros interiores,  incluye resanes, limpieza de muro y reparacion de detalles en filos y dilataciones.
-Incluye  andamios certificados, elementos de proteccion personal, personal certificado en manejo de alturas,  
-Incluye demarcación de áreas de trabajo con cinta amarilla y señalizacion adecuada y suficiente</t>
  </si>
  <si>
    <t>PISOS</t>
  </si>
  <si>
    <t>Suministro e instalación de  guarda escoba en PVC con perfil media caña o de diseño cóncavo</t>
  </si>
  <si>
    <t>CARPINTERIA METÁLICA</t>
  </si>
  <si>
    <t>Suministro e instalacion de Puerta metálica cal 20 en persiana 2,20 x 2,0 m. con cerradura seguridad, pasadores, pintura base anticorrosivo y esmalte dos (2) manos</t>
  </si>
  <si>
    <t>ASEO Y LIMPIEZA</t>
  </si>
  <si>
    <t>Aseo y limpieza de obra</t>
  </si>
  <si>
    <t>Retiro y disposición final de escombros a un lugar cerificado. Viajes de 7m3</t>
  </si>
  <si>
    <t>VIAJES</t>
  </si>
  <si>
    <t>AIRES ACONDICIONADOS</t>
  </si>
  <si>
    <t>Reubicación y puesta en marcha de equipo de aire acondicionado tipo minisplit de 24000BTU marca YORK modelo HLEA24FS-ADR</t>
  </si>
  <si>
    <t>Reubicación y puesta en marcha de equipo de aire acondicionado tipo minisplit de 24000BTU marca INNOVAR INVERTER modelo BIN625C2V32-V</t>
  </si>
  <si>
    <t>TOTAL COSTOS DIRECTOS</t>
  </si>
  <si>
    <t>ADMINISTRACIÓN</t>
  </si>
  <si>
    <t>UTILIDAD</t>
  </si>
  <si>
    <t>TOTAL A-U</t>
  </si>
  <si>
    <t>IVA SOBRE LA UTILIDAD</t>
  </si>
  <si>
    <t>VALOR TOTAL PRESUPUESTO</t>
  </si>
  <si>
    <t xml:space="preserve">DESCRIPCION 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</si>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</sst>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&quot; &quot;&quot;$&quot;&quot; &quot;* #,##0&quot; &quot;;&quot;-&quot;&quot;$&quot;&quot; &quot;* #,##0&quot; &quot;;&quot; &quot;&quot;$&quot;&quot; &quot;* &quot;-&quot;#&quot; &quot;;&quot; &quot;@"/>
    <numFmt numFmtId="166" formatCode="&quot; &quot;* #,##0.00&quot; &quot;;&quot;-&quot;* #,##0.00&quot; &quot;;&quot; &quot;* &quot;-&quot;#&quot; &quot;;&quot; &quot;@"/>
    <numFmt numFmtId="167" formatCode="_-&quot;$&quot;\ * #,##0_-;\-&quot;$&quot;\ * #,##0_-;_-&quot;$&quot;\ * &quot;-&quot;??_-;_-@"/>
  </numFmts>
  <fonts count="10">
    <font>
      <sz val="11.0"/>
      <color theme="1"/>
      <name val="Calibri"/>
      <scheme val="minor"/>
    </font>
    <font>
      <b/>
      <sz val="12.0"/>
      <color theme="1"/>
      <name val="Arial"/>
    </font>
    <font/>
    <font>
      <sz val="11.0"/>
      <color theme="1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00000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6A6A6"/>
        <bgColor rgb="FFA6A6A6"/>
      </patternFill>
    </fill>
    <fill>
      <patternFill patternType="solid">
        <fgColor rgb="FFF1F1F1"/>
        <bgColor rgb="FFF1F1F1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4" numFmtId="0" xfId="0" applyAlignment="1" applyBorder="1" applyFont="1">
      <alignment horizontal="left" vertical="center"/>
    </xf>
    <xf borderId="10" fillId="0" fontId="5" numFmtId="2" xfId="0" applyAlignment="1" applyBorder="1" applyFont="1" applyNumberFormat="1">
      <alignment horizontal="center" vertical="center"/>
    </xf>
    <xf borderId="4" fillId="2" fontId="5" numFmtId="2" xfId="0" applyAlignment="1" applyBorder="1" applyFont="1" applyNumberFormat="1">
      <alignment horizontal="center" vertical="center"/>
    </xf>
    <xf borderId="4" fillId="2" fontId="3" numFmtId="164" xfId="0" applyBorder="1" applyFont="1" applyNumberFormat="1"/>
    <xf borderId="10" fillId="0" fontId="5" numFmtId="2" xfId="0" applyAlignment="1" applyBorder="1" applyFont="1" applyNumberFormat="1">
      <alignment horizontal="center" shrinkToFit="0" vertical="center" wrapText="1"/>
    </xf>
    <xf borderId="11" fillId="3" fontId="4" numFmtId="2" xfId="0" applyAlignment="1" applyBorder="1" applyFill="1" applyFont="1" applyNumberForma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0" fillId="4" fontId="6" numFmtId="0" xfId="0" applyAlignment="1" applyBorder="1" applyFill="1" applyFont="1">
      <alignment horizontal="center" shrinkToFit="0" vertical="center" wrapText="1"/>
    </xf>
    <xf borderId="10" fillId="5" fontId="6" numFmtId="0" xfId="0" applyAlignment="1" applyBorder="1" applyFill="1" applyFont="1">
      <alignment horizontal="center" shrinkToFit="0" vertical="center" wrapText="1"/>
    </xf>
    <xf borderId="10" fillId="5" fontId="6" numFmtId="2" xfId="0" applyAlignment="1" applyBorder="1" applyFont="1" applyNumberFormat="1">
      <alignment horizontal="center" shrinkToFit="0" vertical="center" wrapText="1"/>
    </xf>
    <xf borderId="10" fillId="5" fontId="6" numFmtId="165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/>
    </xf>
    <xf borderId="10" fillId="0" fontId="7" numFmtId="2" xfId="0" applyAlignment="1" applyBorder="1" applyFont="1" applyNumberFormat="1">
      <alignment horizontal="center"/>
    </xf>
    <xf borderId="10" fillId="6" fontId="6" numFmtId="0" xfId="0" applyAlignment="1" applyBorder="1" applyFill="1" applyFont="1">
      <alignment horizontal="center" shrinkToFit="0" vertical="center" wrapText="1"/>
    </xf>
    <xf borderId="10" fillId="6" fontId="6" numFmtId="2" xfId="0" applyAlignment="1" applyBorder="1" applyFont="1" applyNumberFormat="1">
      <alignment horizontal="center" shrinkToFit="0" vertical="center" wrapText="1"/>
    </xf>
    <xf borderId="10" fillId="7" fontId="7" numFmtId="166" xfId="0" applyAlignment="1" applyBorder="1" applyFill="1" applyFont="1" applyNumberFormat="1">
      <alignment horizontal="left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0" fillId="0" fontId="7" numFmtId="165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center" shrinkToFit="0" wrapText="1"/>
    </xf>
    <xf borderId="10" fillId="2" fontId="7" numFmtId="0" xfId="0" applyAlignment="1" applyBorder="1" applyFont="1">
      <alignment horizontal="center" shrinkToFit="0" wrapText="1"/>
    </xf>
    <xf borderId="10" fillId="8" fontId="7" numFmtId="0" xfId="0" applyAlignment="1" applyBorder="1" applyFill="1" applyFont="1">
      <alignment horizontal="center" vertical="center"/>
    </xf>
    <xf borderId="10" fillId="8" fontId="7" numFmtId="0" xfId="0" applyAlignment="1" applyBorder="1" applyFont="1">
      <alignment shrinkToFit="0" vertical="center" wrapText="1"/>
    </xf>
    <xf borderId="10" fillId="8" fontId="6" numFmtId="0" xfId="0" applyAlignment="1" applyBorder="1" applyFont="1">
      <alignment horizontal="right" vertical="center"/>
    </xf>
    <xf borderId="10" fillId="8" fontId="6" numFmtId="165" xfId="0" applyAlignment="1" applyBorder="1" applyFont="1" applyNumberFormat="1">
      <alignment horizontal="center" shrinkToFit="0" vertical="center" wrapText="1"/>
    </xf>
    <xf borderId="10" fillId="7" fontId="7" numFmtId="166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0" fillId="6" fontId="6" numFmtId="165" xfId="0" applyAlignment="1" applyBorder="1" applyFont="1" applyNumberFormat="1">
      <alignment horizontal="center" shrinkToFit="0" vertical="center" wrapText="1"/>
    </xf>
    <xf borderId="10" fillId="7" fontId="7" numFmtId="166" xfId="0" applyAlignment="1" applyBorder="1" applyFont="1" applyNumberFormat="1">
      <alignment horizontal="right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4" fillId="7" fontId="7" numFmtId="166" xfId="0" applyAlignment="1" applyBorder="1" applyFont="1" applyNumberFormat="1">
      <alignment horizontal="center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vertical="center"/>
    </xf>
    <xf borderId="4" fillId="2" fontId="7" numFmtId="165" xfId="0" applyAlignment="1" applyBorder="1" applyFont="1" applyNumberFormat="1">
      <alignment horizontal="center" shrinkToFit="0" vertical="center" wrapText="1"/>
    </xf>
    <xf borderId="4" fillId="2" fontId="7" numFmtId="0" xfId="0" applyBorder="1" applyFont="1"/>
    <xf borderId="4" fillId="2" fontId="7" numFmtId="0" xfId="0" applyAlignment="1" applyBorder="1" applyFont="1">
      <alignment horizontal="center"/>
    </xf>
    <xf borderId="4" fillId="2" fontId="7" numFmtId="2" xfId="0" applyBorder="1" applyFont="1" applyNumberFormat="1"/>
    <xf borderId="14" fillId="6" fontId="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9" fontId="6" numFmtId="167" xfId="0" applyAlignment="1" applyBorder="1" applyFill="1" applyFont="1" applyNumberFormat="1">
      <alignment horizontal="center" shrinkToFit="0" vertical="center" wrapText="1"/>
    </xf>
    <xf borderId="17" fillId="0" fontId="7" numFmtId="2" xfId="0" applyAlignment="1" applyBorder="1" applyFont="1" applyNumberFormat="1">
      <alignment horizontal="center" shrinkToFit="0" vertical="center" wrapText="1"/>
    </xf>
    <xf borderId="18" fillId="0" fontId="7" numFmtId="9" xfId="0" applyAlignment="1" applyBorder="1" applyFont="1" applyNumberFormat="1">
      <alignment horizontal="center" shrinkToFit="0" vertical="center" wrapText="1"/>
    </xf>
    <xf borderId="16" fillId="2" fontId="6" numFmtId="167" xfId="0" applyAlignment="1" applyBorder="1" applyFont="1" applyNumberFormat="1">
      <alignment horizontal="center" shrinkToFit="0" vertical="center" wrapText="1"/>
    </xf>
    <xf borderId="19" fillId="6" fontId="6" numFmtId="2" xfId="0" applyAlignment="1" applyBorder="1" applyFont="1" applyNumberFormat="1">
      <alignment horizontal="center" shrinkToFit="0" vertical="center" wrapText="1"/>
    </xf>
    <xf borderId="20" fillId="6" fontId="6" numFmtId="2" xfId="0" applyAlignment="1" applyBorder="1" applyFont="1" applyNumberFormat="1">
      <alignment shrinkToFit="0" vertical="center" wrapText="1"/>
    </xf>
    <xf borderId="21" fillId="6" fontId="6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4" fillId="2" fontId="3" numFmtId="0" xfId="0" applyAlignment="1" applyBorder="1" applyFont="1">
      <alignment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1</xdr:row>
      <xdr:rowOff>161925</xdr:rowOff>
    </xdr:from>
    <xdr:ext cx="1200150" cy="111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78.43"/>
    <col customWidth="1" min="3" max="4" width="10.71"/>
    <col customWidth="1" min="5" max="5" width="50.0"/>
    <col customWidth="1" min="6" max="6" width="38.29"/>
    <col customWidth="1" min="7" max="7" width="33.0"/>
    <col customWidth="1" min="8" max="26" width="10.71"/>
  </cols>
  <sheetData>
    <row r="1" ht="14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/>
      <c r="B10" s="8"/>
      <c r="C10" s="8"/>
      <c r="D10" s="8"/>
      <c r="E10" s="8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0" t="s">
        <v>1</v>
      </c>
      <c r="B11" s="11"/>
      <c r="C11" s="12"/>
      <c r="D11" s="4"/>
      <c r="E11" s="4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0" t="s">
        <v>2</v>
      </c>
      <c r="B12" s="11"/>
      <c r="C12" s="12"/>
      <c r="D12" s="4"/>
      <c r="E12" s="4"/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0" t="s">
        <v>3</v>
      </c>
      <c r="B13" s="11"/>
      <c r="C13" s="12"/>
      <c r="D13" s="4"/>
      <c r="E13" s="4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0" t="s">
        <v>4</v>
      </c>
      <c r="B14" s="11"/>
      <c r="C14" s="12"/>
      <c r="D14" s="4"/>
      <c r="E14" s="4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0" t="s">
        <v>5</v>
      </c>
      <c r="B15" s="14" t="s">
        <v>6</v>
      </c>
      <c r="C15" s="12"/>
      <c r="D15" s="4"/>
      <c r="E15" s="4"/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8.25" customHeight="1">
      <c r="A16" s="15" t="s">
        <v>6</v>
      </c>
      <c r="B16" s="16"/>
      <c r="C16" s="16"/>
      <c r="D16" s="16"/>
      <c r="E16" s="16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75" customHeight="1">
      <c r="A17" s="18" t="s">
        <v>7</v>
      </c>
      <c r="B17" s="18" t="s">
        <v>8</v>
      </c>
      <c r="C17" s="19" t="s">
        <v>9</v>
      </c>
      <c r="D17" s="20" t="s">
        <v>10</v>
      </c>
      <c r="E17" s="21" t="s">
        <v>11</v>
      </c>
      <c r="F17" s="21" t="s">
        <v>12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2"/>
      <c r="B18" s="23"/>
      <c r="C18" s="23"/>
      <c r="D18" s="24"/>
      <c r="E18" s="24"/>
      <c r="F18" s="2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>
        <v>1.0</v>
      </c>
      <c r="B19" s="25" t="s">
        <v>13</v>
      </c>
      <c r="C19" s="25"/>
      <c r="D19" s="26"/>
      <c r="E19" s="26"/>
      <c r="F19" s="2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7">
        <v>1.01</v>
      </c>
      <c r="B20" s="28" t="s">
        <v>14</v>
      </c>
      <c r="C20" s="29" t="s">
        <v>15</v>
      </c>
      <c r="D20" s="22">
        <v>150.0</v>
      </c>
      <c r="E20" s="30">
        <v>0.0</v>
      </c>
      <c r="F20" s="30">
        <f t="shared" ref="F20:F26" si="1">+$D20*$E20</f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7">
        <v>1.02</v>
      </c>
      <c r="B21" s="28" t="s">
        <v>16</v>
      </c>
      <c r="C21" s="29" t="s">
        <v>17</v>
      </c>
      <c r="D21" s="22">
        <v>50.0</v>
      </c>
      <c r="E21" s="30">
        <v>0.0</v>
      </c>
      <c r="F21" s="30">
        <f t="shared" si="1"/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7">
        <v>1.03</v>
      </c>
      <c r="B22" s="28" t="s">
        <v>18</v>
      </c>
      <c r="C22" s="29" t="s">
        <v>19</v>
      </c>
      <c r="D22" s="22">
        <v>3.0</v>
      </c>
      <c r="E22" s="30">
        <v>0.0</v>
      </c>
      <c r="F22" s="30">
        <f t="shared" si="1"/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7">
        <v>1.04</v>
      </c>
      <c r="B23" s="28" t="s">
        <v>20</v>
      </c>
      <c r="C23" s="29" t="s">
        <v>15</v>
      </c>
      <c r="D23" s="22">
        <v>150.0</v>
      </c>
      <c r="E23" s="30">
        <v>0.0</v>
      </c>
      <c r="F23" s="30">
        <f t="shared" si="1"/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7">
        <v>1.05</v>
      </c>
      <c r="B24" s="31" t="s">
        <v>21</v>
      </c>
      <c r="C24" s="32" t="s">
        <v>15</v>
      </c>
      <c r="D24" s="23">
        <v>150.0</v>
      </c>
      <c r="E24" s="30">
        <v>0.0</v>
      </c>
      <c r="F24" s="30">
        <f t="shared" si="1"/>
        <v>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7">
        <v>1.06</v>
      </c>
      <c r="B25" s="31" t="s">
        <v>22</v>
      </c>
      <c r="C25" s="32" t="s">
        <v>15</v>
      </c>
      <c r="D25" s="23">
        <v>90.0</v>
      </c>
      <c r="E25" s="30">
        <v>0.0</v>
      </c>
      <c r="F25" s="30">
        <f t="shared" si="1"/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7">
        <v>1.07</v>
      </c>
      <c r="B26" s="31" t="s">
        <v>23</v>
      </c>
      <c r="C26" s="32" t="s">
        <v>19</v>
      </c>
      <c r="D26" s="23">
        <v>1.0</v>
      </c>
      <c r="E26" s="30">
        <v>0.0</v>
      </c>
      <c r="F26" s="30">
        <f t="shared" si="1"/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3"/>
      <c r="B27" s="34"/>
      <c r="C27" s="33"/>
      <c r="D27" s="35" t="s">
        <v>24</v>
      </c>
      <c r="E27" s="36">
        <f t="shared" ref="E27:F27" si="2">SUM(E20:E24)</f>
        <v>0</v>
      </c>
      <c r="F27" s="36">
        <f t="shared" si="2"/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>
        <v>2.0</v>
      </c>
      <c r="B28" s="25" t="s">
        <v>25</v>
      </c>
      <c r="C28" s="25"/>
      <c r="D28" s="26"/>
      <c r="E28" s="26"/>
      <c r="F28" s="2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7">
        <v>2.01</v>
      </c>
      <c r="B29" s="38" t="s">
        <v>26</v>
      </c>
      <c r="C29" s="28" t="s">
        <v>15</v>
      </c>
      <c r="D29" s="22">
        <v>170.0</v>
      </c>
      <c r="E29" s="30">
        <v>0.0</v>
      </c>
      <c r="F29" s="30">
        <f t="shared" ref="F29:F31" si="3">+$D29*$E29</f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7">
        <v>2.02</v>
      </c>
      <c r="B30" s="38" t="s">
        <v>27</v>
      </c>
      <c r="C30" s="28" t="s">
        <v>15</v>
      </c>
      <c r="D30" s="22">
        <v>150.0</v>
      </c>
      <c r="E30" s="30">
        <v>0.0</v>
      </c>
      <c r="F30" s="30">
        <f t="shared" si="3"/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37">
        <v>2.03</v>
      </c>
      <c r="B31" s="38" t="s">
        <v>28</v>
      </c>
      <c r="C31" s="28" t="s">
        <v>17</v>
      </c>
      <c r="D31" s="22">
        <v>25.0</v>
      </c>
      <c r="E31" s="30">
        <v>0.0</v>
      </c>
      <c r="F31" s="30">
        <f t="shared" si="3"/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3"/>
      <c r="B32" s="34"/>
      <c r="C32" s="33"/>
      <c r="D32" s="35" t="s">
        <v>24</v>
      </c>
      <c r="E32" s="36">
        <f t="shared" ref="E32:F32" si="4">SUM(E29:E30)</f>
        <v>0</v>
      </c>
      <c r="F32" s="36">
        <f t="shared" si="4"/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>
        <v>3.0</v>
      </c>
      <c r="B33" s="25" t="s">
        <v>29</v>
      </c>
      <c r="C33" s="25"/>
      <c r="D33" s="26"/>
      <c r="E33" s="26"/>
      <c r="F33" s="2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37">
        <v>3.01</v>
      </c>
      <c r="B34" s="38" t="s">
        <v>30</v>
      </c>
      <c r="C34" s="28" t="s">
        <v>19</v>
      </c>
      <c r="D34" s="28">
        <v>20.0</v>
      </c>
      <c r="E34" s="30">
        <v>0.0</v>
      </c>
      <c r="F34" s="30">
        <f t="shared" ref="F34:F43" si="5">+$D34*$E34</f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37">
        <v>3.02</v>
      </c>
      <c r="B35" s="38" t="s">
        <v>30</v>
      </c>
      <c r="C35" s="28" t="s">
        <v>19</v>
      </c>
      <c r="D35" s="28">
        <v>2.0</v>
      </c>
      <c r="E35" s="30">
        <v>0.0</v>
      </c>
      <c r="F35" s="30">
        <f t="shared" si="5"/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37">
        <v>3.03</v>
      </c>
      <c r="B36" s="38" t="s">
        <v>31</v>
      </c>
      <c r="C36" s="28" t="s">
        <v>19</v>
      </c>
      <c r="D36" s="28">
        <v>1.0</v>
      </c>
      <c r="E36" s="30">
        <v>0.0</v>
      </c>
      <c r="F36" s="30">
        <f t="shared" si="5"/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37">
        <v>3.04</v>
      </c>
      <c r="B37" s="38" t="s">
        <v>32</v>
      </c>
      <c r="C37" s="28" t="s">
        <v>19</v>
      </c>
      <c r="D37" s="28">
        <v>1.0</v>
      </c>
      <c r="E37" s="30">
        <v>0.0</v>
      </c>
      <c r="F37" s="30">
        <f t="shared" si="5"/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37">
        <v>3.05</v>
      </c>
      <c r="B38" s="38" t="s">
        <v>33</v>
      </c>
      <c r="C38" s="28" t="s">
        <v>19</v>
      </c>
      <c r="D38" s="28">
        <v>3.0</v>
      </c>
      <c r="E38" s="30">
        <v>0.0</v>
      </c>
      <c r="F38" s="30">
        <f t="shared" si="5"/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7">
        <v>3.06</v>
      </c>
      <c r="B39" s="38" t="s">
        <v>34</v>
      </c>
      <c r="C39" s="28" t="s">
        <v>19</v>
      </c>
      <c r="D39" s="28">
        <v>3.0</v>
      </c>
      <c r="E39" s="30">
        <v>0.0</v>
      </c>
      <c r="F39" s="30">
        <f t="shared" si="5"/>
        <v>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37">
        <v>3.07</v>
      </c>
      <c r="B40" s="38" t="s">
        <v>35</v>
      </c>
      <c r="C40" s="28" t="s">
        <v>19</v>
      </c>
      <c r="D40" s="28">
        <v>2.0</v>
      </c>
      <c r="E40" s="30">
        <v>0.0</v>
      </c>
      <c r="F40" s="30">
        <f t="shared" si="5"/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37">
        <v>3.08</v>
      </c>
      <c r="B41" s="38" t="s">
        <v>36</v>
      </c>
      <c r="C41" s="28" t="s">
        <v>19</v>
      </c>
      <c r="D41" s="28">
        <v>8.0</v>
      </c>
      <c r="E41" s="30">
        <v>0.0</v>
      </c>
      <c r="F41" s="30">
        <f t="shared" si="5"/>
        <v>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37">
        <v>3.09</v>
      </c>
      <c r="B42" s="38" t="s">
        <v>37</v>
      </c>
      <c r="C42" s="28" t="s">
        <v>19</v>
      </c>
      <c r="D42" s="28">
        <v>10.0</v>
      </c>
      <c r="E42" s="30">
        <v>0.0</v>
      </c>
      <c r="F42" s="30">
        <f t="shared" si="5"/>
        <v>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7">
        <v>3.1</v>
      </c>
      <c r="B43" s="38" t="s">
        <v>38</v>
      </c>
      <c r="C43" s="28" t="s">
        <v>19</v>
      </c>
      <c r="D43" s="28">
        <v>10.0</v>
      </c>
      <c r="E43" s="30">
        <v>0.0</v>
      </c>
      <c r="F43" s="30">
        <f t="shared" si="5"/>
        <v>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33"/>
      <c r="B44" s="34"/>
      <c r="C44" s="33"/>
      <c r="D44" s="35" t="s">
        <v>24</v>
      </c>
      <c r="E44" s="36">
        <f t="shared" ref="E44:F44" si="6">SUM(E34:E37)</f>
        <v>0</v>
      </c>
      <c r="F44" s="36">
        <f t="shared" si="6"/>
        <v>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>
        <v>4.0</v>
      </c>
      <c r="B45" s="25" t="s">
        <v>39</v>
      </c>
      <c r="C45" s="25"/>
      <c r="D45" s="26"/>
      <c r="E45" s="26"/>
      <c r="F45" s="2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37">
        <v>4.01</v>
      </c>
      <c r="B46" s="38" t="s">
        <v>40</v>
      </c>
      <c r="C46" s="28" t="s">
        <v>15</v>
      </c>
      <c r="D46" s="22">
        <v>337.0</v>
      </c>
      <c r="E46" s="30">
        <v>0.0</v>
      </c>
      <c r="F46" s="30">
        <f>+$D46*$E46</f>
        <v>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33"/>
      <c r="B47" s="34"/>
      <c r="C47" s="33"/>
      <c r="D47" s="35" t="s">
        <v>24</v>
      </c>
      <c r="E47" s="36">
        <f t="shared" ref="E47:F47" si="7">SUM(E46)</f>
        <v>0</v>
      </c>
      <c r="F47" s="36">
        <f t="shared" si="7"/>
        <v>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>
        <v>5.0</v>
      </c>
      <c r="B48" s="25" t="s">
        <v>41</v>
      </c>
      <c r="C48" s="25"/>
      <c r="D48" s="26"/>
      <c r="E48" s="39"/>
      <c r="F48" s="3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37">
        <v>5.01</v>
      </c>
      <c r="B49" s="38" t="s">
        <v>42</v>
      </c>
      <c r="C49" s="28" t="s">
        <v>17</v>
      </c>
      <c r="D49" s="22">
        <v>60.0</v>
      </c>
      <c r="E49" s="30">
        <v>0.0</v>
      </c>
      <c r="F49" s="30">
        <f>+$D49*$E49</f>
        <v>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3"/>
      <c r="B50" s="34"/>
      <c r="C50" s="33"/>
      <c r="D50" s="35" t="s">
        <v>24</v>
      </c>
      <c r="E50" s="36" t="str">
        <f t="shared" ref="E50:F50" si="8">SUM(E49:E50)</f>
        <v>#REF!</v>
      </c>
      <c r="F50" s="36" t="str">
        <f t="shared" si="8"/>
        <v>#REF!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5">
        <v>6.0</v>
      </c>
      <c r="B51" s="25" t="s">
        <v>43</v>
      </c>
      <c r="C51" s="25"/>
      <c r="D51" s="26"/>
      <c r="E51" s="39"/>
      <c r="F51" s="3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>
        <v>6.01</v>
      </c>
      <c r="B52" s="38" t="s">
        <v>44</v>
      </c>
      <c r="C52" s="28" t="s">
        <v>19</v>
      </c>
      <c r="D52" s="22">
        <v>1.0</v>
      </c>
      <c r="E52" s="30">
        <v>0.0</v>
      </c>
      <c r="F52" s="30">
        <f>+$D52*$E52</f>
        <v>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3"/>
      <c r="B53" s="34"/>
      <c r="C53" s="33"/>
      <c r="D53" s="35" t="s">
        <v>24</v>
      </c>
      <c r="E53" s="36" t="str">
        <f t="shared" ref="E53:F53" si="9">SUM(E52:E53)</f>
        <v>#REF!</v>
      </c>
      <c r="F53" s="36" t="str">
        <f t="shared" si="9"/>
        <v>#REF!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5">
        <v>7.0</v>
      </c>
      <c r="B54" s="25" t="s">
        <v>45</v>
      </c>
      <c r="C54" s="25"/>
      <c r="D54" s="26"/>
      <c r="E54" s="39"/>
      <c r="F54" s="3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0">
        <v>7.01</v>
      </c>
      <c r="B55" s="38" t="s">
        <v>46</v>
      </c>
      <c r="C55" s="28" t="s">
        <v>15</v>
      </c>
      <c r="D55" s="22">
        <v>150.0</v>
      </c>
      <c r="E55" s="30">
        <v>0.0</v>
      </c>
      <c r="F55" s="30">
        <f>+$D55*$E55</f>
        <v>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0">
        <v>7.02</v>
      </c>
      <c r="B56" s="38" t="s">
        <v>47</v>
      </c>
      <c r="C56" s="28" t="s">
        <v>48</v>
      </c>
      <c r="D56" s="22">
        <v>3.0</v>
      </c>
      <c r="E56" s="30"/>
      <c r="F56" s="3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3"/>
      <c r="B57" s="34"/>
      <c r="C57" s="33"/>
      <c r="D57" s="35" t="s">
        <v>24</v>
      </c>
      <c r="E57" s="36" t="str">
        <f t="shared" ref="E57:F57" si="10">SUM(E55:E57)</f>
        <v>#REF!</v>
      </c>
      <c r="F57" s="36" t="str">
        <f t="shared" si="10"/>
        <v>#REF!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5">
        <v>8.0</v>
      </c>
      <c r="B58" s="25" t="s">
        <v>49</v>
      </c>
      <c r="C58" s="25"/>
      <c r="D58" s="26"/>
      <c r="E58" s="39"/>
      <c r="F58" s="3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0">
        <v>8.01</v>
      </c>
      <c r="B59" s="41" t="s">
        <v>50</v>
      </c>
      <c r="C59" s="42" t="s">
        <v>19</v>
      </c>
      <c r="D59" s="43">
        <v>1.0</v>
      </c>
      <c r="E59" s="30">
        <v>0.0</v>
      </c>
      <c r="F59" s="30">
        <f t="shared" ref="F59:F60" si="11">+$D59*$E59</f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0">
        <v>8.02</v>
      </c>
      <c r="B60" s="41" t="s">
        <v>51</v>
      </c>
      <c r="C60" s="42" t="s">
        <v>19</v>
      </c>
      <c r="D60" s="43">
        <v>1.0</v>
      </c>
      <c r="E60" s="30">
        <v>0.0</v>
      </c>
      <c r="F60" s="30">
        <f t="shared" si="11"/>
        <v>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3"/>
      <c r="B61" s="34"/>
      <c r="C61" s="33"/>
      <c r="D61" s="35" t="s">
        <v>24</v>
      </c>
      <c r="E61" s="36" t="str">
        <f t="shared" ref="E61:F61" si="12">SUM(E59:E61)</f>
        <v>#REF!</v>
      </c>
      <c r="F61" s="36" t="str">
        <f t="shared" si="12"/>
        <v>#REF!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4"/>
      <c r="B62" s="45"/>
      <c r="C62" s="46"/>
      <c r="D62" s="47"/>
      <c r="E62" s="48"/>
      <c r="F62" s="4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9"/>
      <c r="B63" s="49"/>
      <c r="C63" s="50"/>
      <c r="D63" s="51"/>
      <c r="E63" s="52" t="s">
        <v>52</v>
      </c>
      <c r="F63" s="53"/>
      <c r="G63" s="54">
        <f>+G57+G53+G50+G47+G44+G32+G27+G61</f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9"/>
      <c r="B64" s="49"/>
      <c r="C64" s="50"/>
      <c r="D64" s="51"/>
      <c r="E64" s="55" t="s">
        <v>53</v>
      </c>
      <c r="F64" s="56">
        <v>0.2</v>
      </c>
      <c r="G64" s="57">
        <f>+G63*F64</f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9"/>
      <c r="B65" s="49"/>
      <c r="C65" s="50"/>
      <c r="D65" s="51"/>
      <c r="E65" s="55" t="s">
        <v>54</v>
      </c>
      <c r="F65" s="56">
        <v>0.05</v>
      </c>
      <c r="G65" s="57">
        <f>+G63*F65</f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9"/>
      <c r="B66" s="49"/>
      <c r="C66" s="50"/>
      <c r="D66" s="51"/>
      <c r="E66" s="58" t="s">
        <v>55</v>
      </c>
      <c r="F66" s="59"/>
      <c r="G66" s="54">
        <f>+G64+G65</f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9"/>
      <c r="B67" s="49"/>
      <c r="C67" s="50"/>
      <c r="D67" s="51"/>
      <c r="E67" s="55" t="s">
        <v>56</v>
      </c>
      <c r="F67" s="56">
        <v>0.19</v>
      </c>
      <c r="G67" s="57">
        <f>+G65*F67</f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9"/>
      <c r="B68" s="49"/>
      <c r="C68" s="50"/>
      <c r="D68" s="51"/>
      <c r="E68" s="60" t="s">
        <v>57</v>
      </c>
      <c r="F68" s="61"/>
      <c r="G68" s="54">
        <f>+G63+G66+G67</f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9"/>
      <c r="B69" s="49"/>
      <c r="C69" s="50"/>
      <c r="D69" s="51"/>
      <c r="E69" s="51"/>
      <c r="F69" s="5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9"/>
      <c r="B70" s="62"/>
      <c r="C70" s="50"/>
      <c r="D70" s="51"/>
      <c r="E70" s="51"/>
      <c r="F70" s="5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9"/>
      <c r="B71" s="62"/>
      <c r="C71" s="50"/>
      <c r="D71" s="51"/>
      <c r="E71" s="51"/>
      <c r="F71" s="5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9"/>
      <c r="B72" s="62"/>
      <c r="C72" s="50"/>
      <c r="D72" s="51"/>
      <c r="E72" s="51"/>
      <c r="F72" s="5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9"/>
      <c r="B73" s="49"/>
      <c r="C73" s="50"/>
      <c r="D73" s="51"/>
      <c r="E73" s="51"/>
      <c r="F73" s="5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62"/>
      <c r="B106" s="62"/>
      <c r="C106" s="62"/>
      <c r="D106" s="62"/>
      <c r="E106" s="62"/>
      <c r="F106" s="6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1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F10"/>
    <mergeCell ref="A16:F16"/>
    <mergeCell ref="E63:F63"/>
    <mergeCell ref="E68:F6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14"/>
    <col customWidth="1" min="3" max="26" width="10.71"/>
  </cols>
  <sheetData>
    <row r="1" ht="14.25" customHeight="1">
      <c r="A1" s="63" t="s">
        <v>7</v>
      </c>
      <c r="B1" s="63" t="s">
        <v>58</v>
      </c>
      <c r="C1" s="63" t="s">
        <v>19</v>
      </c>
      <c r="D1" s="63" t="s">
        <v>59</v>
      </c>
    </row>
    <row r="2" ht="14.25" customHeight="1">
      <c r="A2" s="63">
        <v>1.0</v>
      </c>
      <c r="B2" s="63" t="s">
        <v>13</v>
      </c>
    </row>
    <row r="3" ht="14.25" customHeight="1">
      <c r="A3" s="63">
        <v>1.01</v>
      </c>
      <c r="B3" s="63" t="s">
        <v>14</v>
      </c>
      <c r="C3" s="63" t="s">
        <v>15</v>
      </c>
      <c r="D3" s="63">
        <v>150.0</v>
      </c>
    </row>
    <row r="4" ht="14.25" customHeight="1">
      <c r="A4" s="63">
        <v>1.02</v>
      </c>
      <c r="B4" s="63" t="s">
        <v>16</v>
      </c>
      <c r="C4" s="63" t="s">
        <v>17</v>
      </c>
      <c r="D4" s="63">
        <v>50.0</v>
      </c>
    </row>
    <row r="5" ht="14.25" customHeight="1">
      <c r="A5" s="63">
        <v>1.03</v>
      </c>
      <c r="B5" s="63" t="s">
        <v>18</v>
      </c>
      <c r="C5" s="63" t="s">
        <v>19</v>
      </c>
      <c r="D5" s="63">
        <v>3.0</v>
      </c>
    </row>
    <row r="6" ht="14.25" customHeight="1">
      <c r="A6" s="63">
        <v>1.04</v>
      </c>
      <c r="B6" s="63" t="s">
        <v>20</v>
      </c>
      <c r="C6" s="63" t="s">
        <v>15</v>
      </c>
      <c r="D6" s="63">
        <v>150.0</v>
      </c>
    </row>
    <row r="7" ht="14.25" customHeight="1">
      <c r="A7" s="63">
        <v>1.05</v>
      </c>
      <c r="B7" s="63" t="s">
        <v>21</v>
      </c>
      <c r="C7" s="63" t="s">
        <v>15</v>
      </c>
      <c r="D7" s="63">
        <v>150.0</v>
      </c>
    </row>
    <row r="8" ht="14.25" customHeight="1">
      <c r="A8" s="63">
        <v>1.06</v>
      </c>
      <c r="B8" s="63" t="s">
        <v>22</v>
      </c>
      <c r="C8" s="63" t="s">
        <v>15</v>
      </c>
      <c r="D8" s="63">
        <v>90.0</v>
      </c>
    </row>
    <row r="9" ht="14.25" customHeight="1">
      <c r="A9" s="63">
        <v>1.07</v>
      </c>
      <c r="B9" s="63" t="s">
        <v>23</v>
      </c>
      <c r="C9" s="63" t="s">
        <v>19</v>
      </c>
      <c r="D9" s="63">
        <v>1.0</v>
      </c>
    </row>
    <row r="10" ht="14.25" customHeight="1">
      <c r="A10" s="63">
        <v>2.0</v>
      </c>
      <c r="B10" s="63" t="s">
        <v>25</v>
      </c>
    </row>
    <row r="11" ht="14.25" customHeight="1">
      <c r="A11" s="63">
        <v>2.01</v>
      </c>
      <c r="B11" s="63" t="s">
        <v>26</v>
      </c>
      <c r="C11" s="63" t="s">
        <v>15</v>
      </c>
      <c r="D11" s="63">
        <v>170.0</v>
      </c>
    </row>
    <row r="12" ht="14.25" customHeight="1">
      <c r="A12" s="63">
        <v>2.02</v>
      </c>
      <c r="B12" s="63" t="s">
        <v>27</v>
      </c>
      <c r="C12" s="63" t="s">
        <v>15</v>
      </c>
      <c r="D12" s="63">
        <v>150.0</v>
      </c>
    </row>
    <row r="13" ht="14.25" customHeight="1">
      <c r="A13" s="63">
        <v>2.03</v>
      </c>
      <c r="B13" s="63" t="s">
        <v>28</v>
      </c>
      <c r="C13" s="63" t="s">
        <v>17</v>
      </c>
      <c r="D13" s="63">
        <v>25.0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